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EC02687-2A3A-4C51-A07D-F45C3E0A896C}" xr6:coauthVersionLast="47" xr6:coauthVersionMax="47" xr10:uidLastSave="{00000000-0000-0000-0000-000000000000}"/>
  <bookViews>
    <workbookView xWindow="-105" yWindow="0" windowWidth="14610" windowHeight="15585" firstSheet="4" activeTab="2" xr2:uid="{00000000-000D-0000-FFFF-FFFF00000000}"/>
  </bookViews>
  <sheets>
    <sheet name="Sheet1" sheetId="1" state="hidden" r:id="rId1"/>
    <sheet name="ATTENDANCE REGI" sheetId="2" r:id="rId2"/>
    <sheet name="STUDENT DATA" sheetId="5" r:id="rId3"/>
    <sheet name="student dashboard" sheetId="3" state="hidden" r:id="rId4"/>
    <sheet name="INDIVIDUAL ST DASHBOARD " sheetId="4" r:id="rId5"/>
  </sheets>
  <definedNames>
    <definedName name="_xlnm._FilterDatabase" localSheetId="2" hidden="1">'STUDENT DATA'!$A$1:$F$1</definedName>
    <definedName name="Slicer_STATUS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5" l="1" a="1"/>
  <c r="G6" i="5"/>
  <c r="G3" i="5" a="1"/>
  <c r="G3" i="5"/>
  <c r="G2" i="5" a="1"/>
  <c r="G2" i="5"/>
  <c r="G4" i="5" a="1"/>
  <c r="G4" i="5"/>
  <c r="G5" i="5" a="1"/>
  <c r="G5" i="5"/>
  <c r="G7" i="5" a="1"/>
  <c r="G7" i="5"/>
  <c r="G8" i="5" a="1"/>
  <c r="G8" i="5"/>
  <c r="G9" i="5" a="1"/>
  <c r="G9" i="5"/>
  <c r="G10" i="5" a="1"/>
  <c r="G10" i="5"/>
  <c r="G11" i="5" a="1"/>
  <c r="G11" i="5"/>
  <c r="G12" i="5" a="1"/>
  <c r="G12" i="5"/>
  <c r="G13" i="5" a="1"/>
  <c r="G13" i="5"/>
  <c r="G14" i="5" a="1"/>
  <c r="G14" i="5"/>
  <c r="G15" i="5" a="1"/>
  <c r="G15" i="5"/>
  <c r="G16" i="5" a="1"/>
  <c r="G16" i="5"/>
  <c r="G17" i="5" a="1"/>
  <c r="G17" i="5"/>
  <c r="G18" i="5" a="1"/>
  <c r="G18" i="5"/>
  <c r="G19" i="5" a="1"/>
  <c r="G19" i="5"/>
  <c r="G20" i="5" a="1"/>
  <c r="G20" i="5"/>
  <c r="G21" i="5" a="1"/>
  <c r="G21" i="5"/>
  <c r="G22" i="5" a="1"/>
  <c r="G22" i="5"/>
  <c r="G23" i="5" a="1"/>
  <c r="G23" i="5"/>
  <c r="G24" i="5" a="1"/>
  <c r="G24" i="5"/>
  <c r="G25" i="5" a="1"/>
  <c r="G25" i="5"/>
  <c r="G26" i="5" a="1"/>
  <c r="G26" i="5"/>
  <c r="G27" i="5" a="1"/>
  <c r="G27" i="5"/>
  <c r="G28" i="5" a="1"/>
  <c r="G28" i="5"/>
  <c r="G29" i="5" a="1"/>
  <c r="G29" i="5"/>
  <c r="G30" i="5" a="1"/>
  <c r="G30" i="5"/>
  <c r="G31" i="5" a="1"/>
  <c r="G31" i="5"/>
  <c r="G32" i="5" a="1"/>
  <c r="G32" i="5"/>
  <c r="G33" i="5" a="1"/>
  <c r="G33" i="5"/>
  <c r="G34" i="5" a="1"/>
  <c r="G34" i="5"/>
  <c r="G35" i="5" a="1"/>
  <c r="G35" i="5"/>
  <c r="G36" i="5" a="1"/>
  <c r="G36" i="5"/>
  <c r="G37" i="5" a="1"/>
  <c r="G37" i="5"/>
  <c r="G38" i="5" a="1"/>
  <c r="G38" i="5"/>
  <c r="G39" i="5" a="1"/>
  <c r="G39" i="5"/>
  <c r="G40" i="5" a="1"/>
  <c r="G40" i="5"/>
  <c r="G41" i="5" a="1"/>
  <c r="G41" i="5"/>
  <c r="G42" i="5" a="1"/>
  <c r="G42" i="5"/>
  <c r="G43" i="5" a="1"/>
  <c r="G43" i="5"/>
  <c r="G44" i="5" a="1"/>
  <c r="G44" i="5"/>
  <c r="G45" i="5" a="1"/>
  <c r="G45" i="5"/>
  <c r="G46" i="5" a="1"/>
  <c r="G46" i="5"/>
  <c r="C2" i="5"/>
  <c r="D2" i="5"/>
  <c r="E2" i="5"/>
  <c r="F2" i="5"/>
  <c r="A3" i="5"/>
  <c r="C3" i="5"/>
  <c r="D3" i="5"/>
  <c r="E3" i="5"/>
  <c r="F3" i="5"/>
  <c r="A4" i="5"/>
  <c r="C4" i="5"/>
  <c r="D4" i="5"/>
  <c r="E4" i="5"/>
  <c r="F4" i="5"/>
  <c r="A5" i="5"/>
  <c r="C5" i="5"/>
  <c r="D5" i="5"/>
  <c r="E5" i="5"/>
  <c r="F5" i="5"/>
  <c r="A6" i="5"/>
  <c r="C6" i="5"/>
  <c r="D6" i="5"/>
  <c r="E6" i="5"/>
  <c r="F6" i="5"/>
  <c r="A7" i="5"/>
  <c r="C7" i="5"/>
  <c r="D7" i="5"/>
  <c r="E7" i="5"/>
  <c r="F7" i="5"/>
  <c r="A8" i="5"/>
  <c r="C8" i="5"/>
  <c r="D8" i="5"/>
  <c r="E8" i="5"/>
  <c r="F8" i="5"/>
  <c r="A9" i="5"/>
  <c r="C9" i="5"/>
  <c r="D9" i="5"/>
  <c r="E9" i="5"/>
  <c r="F9" i="5"/>
  <c r="A10" i="5"/>
  <c r="C10" i="5"/>
  <c r="D10" i="5"/>
  <c r="E10" i="5"/>
  <c r="F10" i="5"/>
  <c r="A11" i="5"/>
  <c r="C11" i="5"/>
  <c r="D11" i="5"/>
  <c r="E11" i="5"/>
  <c r="F11" i="5"/>
  <c r="A12" i="5"/>
  <c r="C12" i="5"/>
  <c r="D12" i="5"/>
  <c r="E12" i="5"/>
  <c r="F12" i="5"/>
  <c r="A13" i="5"/>
  <c r="C13" i="5"/>
  <c r="D13" i="5"/>
  <c r="E13" i="5"/>
  <c r="F13" i="5"/>
  <c r="A14" i="5"/>
  <c r="C14" i="5"/>
  <c r="D14" i="5"/>
  <c r="E14" i="5"/>
  <c r="F14" i="5"/>
  <c r="A15" i="5"/>
  <c r="C15" i="5"/>
  <c r="D15" i="5"/>
  <c r="E15" i="5"/>
  <c r="F15" i="5"/>
  <c r="A16" i="5"/>
  <c r="C16" i="5"/>
  <c r="D16" i="5"/>
  <c r="E16" i="5"/>
  <c r="F16" i="5"/>
  <c r="A17" i="5"/>
  <c r="C17" i="5"/>
  <c r="D17" i="5"/>
  <c r="E17" i="5"/>
  <c r="F17" i="5"/>
  <c r="A18" i="5"/>
  <c r="C18" i="5"/>
  <c r="D18" i="5"/>
  <c r="E18" i="5"/>
  <c r="F18" i="5"/>
  <c r="A19" i="5"/>
  <c r="C19" i="5"/>
  <c r="D19" i="5"/>
  <c r="E19" i="5"/>
  <c r="F19" i="5"/>
  <c r="A20" i="5"/>
  <c r="C20" i="5"/>
  <c r="D20" i="5"/>
  <c r="E20" i="5"/>
  <c r="F20" i="5"/>
  <c r="A21" i="5"/>
  <c r="C21" i="5"/>
  <c r="D21" i="5"/>
  <c r="E21" i="5"/>
  <c r="F21" i="5"/>
  <c r="A22" i="5"/>
  <c r="C22" i="5"/>
  <c r="D22" i="5"/>
  <c r="E22" i="5"/>
  <c r="F22" i="5"/>
  <c r="A23" i="5"/>
  <c r="C23" i="5"/>
  <c r="D23" i="5"/>
  <c r="E23" i="5"/>
  <c r="F23" i="5"/>
  <c r="A24" i="5"/>
  <c r="C24" i="5"/>
  <c r="D24" i="5"/>
  <c r="E24" i="5"/>
  <c r="F24" i="5"/>
  <c r="A25" i="5"/>
  <c r="C25" i="5"/>
  <c r="D25" i="5"/>
  <c r="E25" i="5"/>
  <c r="F25" i="5"/>
  <c r="A26" i="5"/>
  <c r="C26" i="5"/>
  <c r="D26" i="5"/>
  <c r="E26" i="5"/>
  <c r="F26" i="5"/>
  <c r="A27" i="5"/>
  <c r="C27" i="5"/>
  <c r="D27" i="5"/>
  <c r="E27" i="5"/>
  <c r="F27" i="5"/>
  <c r="A28" i="5"/>
  <c r="C28" i="5"/>
  <c r="D28" i="5"/>
  <c r="E28" i="5"/>
  <c r="F28" i="5"/>
  <c r="A29" i="5"/>
  <c r="C29" i="5"/>
  <c r="D29" i="5"/>
  <c r="E29" i="5"/>
  <c r="F29" i="5"/>
  <c r="A30" i="5"/>
  <c r="C30" i="5"/>
  <c r="D30" i="5"/>
  <c r="E30" i="5"/>
  <c r="F30" i="5"/>
  <c r="A31" i="5"/>
  <c r="C31" i="5"/>
  <c r="D31" i="5"/>
  <c r="E31" i="5"/>
  <c r="F31" i="5"/>
  <c r="A32" i="5"/>
  <c r="C32" i="5"/>
  <c r="D32" i="5"/>
  <c r="E32" i="5"/>
  <c r="F32" i="5"/>
  <c r="A33" i="5"/>
  <c r="C33" i="5"/>
  <c r="D33" i="5"/>
  <c r="E33" i="5"/>
  <c r="F33" i="5"/>
  <c r="A34" i="5"/>
  <c r="C34" i="5"/>
  <c r="D34" i="5"/>
  <c r="E34" i="5"/>
  <c r="F34" i="5"/>
  <c r="A35" i="5"/>
  <c r="C35" i="5"/>
  <c r="D35" i="5"/>
  <c r="E35" i="5"/>
  <c r="F35" i="5"/>
  <c r="A36" i="5"/>
  <c r="C36" i="5"/>
  <c r="D36" i="5"/>
  <c r="E36" i="5"/>
  <c r="F36" i="5"/>
  <c r="A37" i="5"/>
  <c r="C37" i="5"/>
  <c r="D37" i="5"/>
  <c r="E37" i="5"/>
  <c r="F37" i="5"/>
  <c r="A38" i="5"/>
  <c r="C38" i="5"/>
  <c r="D38" i="5"/>
  <c r="E38" i="5"/>
  <c r="F38" i="5"/>
  <c r="A39" i="5"/>
  <c r="C39" i="5"/>
  <c r="D39" i="5"/>
  <c r="E39" i="5"/>
  <c r="F39" i="5"/>
  <c r="A40" i="5"/>
  <c r="C40" i="5"/>
  <c r="D40" i="5"/>
  <c r="E40" i="5"/>
  <c r="F40" i="5"/>
  <c r="A41" i="5"/>
  <c r="C41" i="5"/>
  <c r="D41" i="5"/>
  <c r="E41" i="5"/>
  <c r="F41" i="5"/>
  <c r="A42" i="5"/>
  <c r="C42" i="5"/>
  <c r="D42" i="5"/>
  <c r="E42" i="5"/>
  <c r="F42" i="5"/>
  <c r="A43" i="5"/>
  <c r="C43" i="5"/>
  <c r="D43" i="5"/>
  <c r="E43" i="5"/>
  <c r="F43" i="5"/>
  <c r="A44" i="5"/>
  <c r="C44" i="5"/>
  <c r="D44" i="5"/>
  <c r="E44" i="5"/>
  <c r="F44" i="5"/>
  <c r="A45" i="5"/>
  <c r="C45" i="5"/>
  <c r="D45" i="5"/>
  <c r="E45" i="5"/>
  <c r="F45" i="5"/>
  <c r="A46" i="5"/>
  <c r="C46" i="5"/>
  <c r="D46" i="5"/>
  <c r="E46" i="5"/>
  <c r="F46" i="5"/>
  <c r="O5" i="2"/>
  <c r="R10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EM61" i="2"/>
  <c r="EN61" i="2"/>
  <c r="EO61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C11" i="4"/>
  <c r="C8" i="4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C12" i="4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C61" i="2"/>
  <c r="C10" i="2"/>
  <c r="X5" i="2"/>
  <c r="D2" i="1"/>
  <c r="C2" i="1"/>
  <c r="A14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9" i="2" l="1"/>
  <c r="D10" i="2"/>
  <c r="C13" i="4"/>
  <c r="C15" i="4"/>
  <c r="B17" i="4" s="1" a="1"/>
  <c r="B17" i="4" s="1"/>
  <c r="B14" i="1"/>
  <c r="D9" i="2" l="1"/>
  <c r="E10" i="2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F10" i="2" l="1"/>
  <c r="E9" i="2"/>
  <c r="G10" i="2" l="1"/>
  <c r="F9" i="2"/>
  <c r="H10" i="2" l="1"/>
  <c r="G9" i="2"/>
  <c r="H9" i="2" l="1"/>
  <c r="I10" i="2"/>
  <c r="J10" i="2" l="1"/>
  <c r="I9" i="2"/>
  <c r="J9" i="2" l="1"/>
  <c r="K10" i="2"/>
  <c r="L10" i="2" l="1"/>
  <c r="K9" i="2"/>
  <c r="L9" i="2" l="1"/>
  <c r="M10" i="2"/>
  <c r="N10" i="2" l="1"/>
  <c r="M9" i="2"/>
  <c r="N9" i="2" l="1"/>
  <c r="O10" i="2"/>
  <c r="P10" i="2" l="1"/>
  <c r="O9" i="2"/>
  <c r="P9" i="2" l="1"/>
  <c r="Q10" i="2"/>
  <c r="Q9" i="2" l="1"/>
  <c r="R9" i="2" l="1"/>
  <c r="S10" i="2"/>
  <c r="T10" i="2" l="1"/>
  <c r="S9" i="2"/>
  <c r="T9" i="2" l="1"/>
  <c r="U10" i="2"/>
  <c r="V10" i="2" l="1"/>
  <c r="U9" i="2"/>
  <c r="V9" i="2" l="1"/>
  <c r="W10" i="2"/>
  <c r="X10" i="2" l="1"/>
  <c r="W9" i="2"/>
  <c r="X9" i="2" l="1"/>
  <c r="Y10" i="2"/>
  <c r="Z10" i="2" l="1"/>
  <c r="Y9" i="2"/>
  <c r="Z9" i="2" l="1"/>
  <c r="AA10" i="2"/>
  <c r="AB10" i="2" l="1"/>
  <c r="AA9" i="2"/>
  <c r="AB9" i="2" l="1"/>
  <c r="AC10" i="2"/>
  <c r="AD10" i="2" l="1"/>
  <c r="AC9" i="2"/>
  <c r="AE10" i="2" l="1"/>
  <c r="AD9" i="2"/>
  <c r="AF10" i="2" l="1"/>
  <c r="AE9" i="2"/>
  <c r="AG10" i="2" l="1"/>
  <c r="AF9" i="2"/>
  <c r="AH10" i="2" l="1"/>
  <c r="AG9" i="2"/>
  <c r="AI10" i="2" l="1"/>
  <c r="AH9" i="2"/>
  <c r="AJ10" i="2" l="1"/>
  <c r="AI9" i="2"/>
  <c r="AK10" i="2" l="1"/>
  <c r="AJ9" i="2"/>
  <c r="AL10" i="2" l="1"/>
  <c r="AK9" i="2"/>
  <c r="AM10" i="2" l="1"/>
  <c r="AL9" i="2"/>
  <c r="AN10" i="2" l="1"/>
  <c r="AM9" i="2"/>
  <c r="AO10" i="2" l="1"/>
  <c r="AN9" i="2"/>
  <c r="AP10" i="2" l="1"/>
  <c r="AO9" i="2"/>
  <c r="AQ10" i="2" l="1"/>
  <c r="AP9" i="2"/>
  <c r="AR10" i="2" l="1"/>
  <c r="AQ9" i="2"/>
  <c r="AS10" i="2" l="1"/>
  <c r="AR9" i="2"/>
  <c r="AT10" i="2" l="1"/>
  <c r="AS9" i="2"/>
  <c r="AU10" i="2" l="1"/>
  <c r="AT9" i="2"/>
  <c r="AV10" i="2" l="1"/>
  <c r="AU9" i="2"/>
  <c r="AW10" i="2" l="1"/>
  <c r="AV9" i="2"/>
  <c r="AX10" i="2" l="1"/>
  <c r="AW9" i="2"/>
  <c r="AX9" i="2" l="1"/>
  <c r="AY10" i="2"/>
  <c r="AY9" i="2" l="1"/>
  <c r="AZ10" i="2"/>
  <c r="AZ9" i="2" l="1"/>
  <c r="BA10" i="2"/>
  <c r="BA9" i="2" l="1"/>
  <c r="BB10" i="2"/>
  <c r="BB9" i="2" l="1"/>
  <c r="BC10" i="2"/>
  <c r="BD10" i="2" l="1"/>
  <c r="BC9" i="2"/>
  <c r="BE10" i="2" l="1"/>
  <c r="BD9" i="2"/>
  <c r="BF10" i="2" l="1"/>
  <c r="BE9" i="2"/>
  <c r="BG10" i="2" l="1"/>
  <c r="BF9" i="2"/>
  <c r="BG9" i="2" l="1"/>
  <c r="BH10" i="2"/>
  <c r="BH9" i="2" l="1"/>
  <c r="BI10" i="2"/>
  <c r="BI9" i="2" l="1"/>
  <c r="BJ10" i="2"/>
  <c r="BJ9" i="2" l="1"/>
  <c r="BK10" i="2"/>
  <c r="BL10" i="2" l="1"/>
  <c r="BK9" i="2"/>
  <c r="BM10" i="2" l="1"/>
  <c r="BL9" i="2"/>
  <c r="BN10" i="2" l="1"/>
  <c r="BM9" i="2"/>
  <c r="BO10" i="2" l="1"/>
  <c r="BN9" i="2"/>
  <c r="BO9" i="2" l="1"/>
  <c r="BP10" i="2"/>
  <c r="BP9" i="2" l="1"/>
  <c r="BQ10" i="2"/>
  <c r="BQ9" i="2" l="1"/>
  <c r="BR10" i="2"/>
  <c r="BR9" i="2" l="1"/>
  <c r="BS10" i="2"/>
  <c r="BT10" i="2" l="1"/>
  <c r="BS9" i="2"/>
  <c r="BU10" i="2" l="1"/>
  <c r="BT9" i="2"/>
  <c r="BV10" i="2" l="1"/>
  <c r="BU9" i="2"/>
  <c r="BW10" i="2" l="1"/>
  <c r="BV9" i="2"/>
  <c r="BX10" i="2" l="1"/>
  <c r="BW9" i="2"/>
  <c r="BY10" i="2" l="1"/>
  <c r="BX9" i="2"/>
  <c r="BZ10" i="2" l="1"/>
  <c r="BY9" i="2"/>
  <c r="CA10" i="2" l="1"/>
  <c r="BZ9" i="2"/>
  <c r="CB10" i="2" l="1"/>
  <c r="CA9" i="2"/>
  <c r="CC10" i="2" l="1"/>
  <c r="CB9" i="2"/>
  <c r="CD10" i="2" l="1"/>
  <c r="CC9" i="2"/>
  <c r="CE10" i="2" l="1"/>
  <c r="CD9" i="2"/>
  <c r="CF10" i="2" l="1"/>
  <c r="CE9" i="2"/>
  <c r="CG10" i="2" l="1"/>
  <c r="CF9" i="2"/>
  <c r="CH10" i="2" l="1"/>
  <c r="CG9" i="2"/>
  <c r="CI10" i="2" l="1"/>
  <c r="CH9" i="2"/>
  <c r="CJ10" i="2" l="1"/>
  <c r="CI9" i="2"/>
  <c r="CK10" i="2" l="1"/>
  <c r="CJ9" i="2"/>
  <c r="CL10" i="2" l="1"/>
  <c r="CK9" i="2"/>
  <c r="CM10" i="2" l="1"/>
  <c r="CL9" i="2"/>
  <c r="CN10" i="2" l="1"/>
  <c r="CM9" i="2"/>
  <c r="CO10" i="2" l="1"/>
  <c r="CN9" i="2"/>
  <c r="CP10" i="2" l="1"/>
  <c r="CO9" i="2"/>
  <c r="CQ10" i="2" l="1"/>
  <c r="CP9" i="2"/>
  <c r="CR10" i="2" l="1"/>
  <c r="CQ9" i="2"/>
  <c r="CS10" i="2" l="1"/>
  <c r="CR9" i="2"/>
  <c r="CT10" i="2" l="1"/>
  <c r="CS9" i="2"/>
  <c r="CU10" i="2" l="1"/>
  <c r="CT9" i="2"/>
  <c r="CV10" i="2" l="1"/>
  <c r="CU9" i="2"/>
  <c r="CW10" i="2" l="1"/>
  <c r="CV9" i="2"/>
  <c r="CX10" i="2" l="1"/>
  <c r="CW9" i="2"/>
  <c r="CY10" i="2" l="1"/>
  <c r="CX9" i="2"/>
  <c r="CZ10" i="2" l="1"/>
  <c r="CY9" i="2"/>
  <c r="DA10" i="2" l="1"/>
  <c r="CZ9" i="2"/>
  <c r="DB10" i="2" l="1"/>
  <c r="DA9" i="2"/>
  <c r="DC10" i="2" l="1"/>
  <c r="DB9" i="2"/>
  <c r="DD10" i="2" l="1"/>
  <c r="DC9" i="2"/>
  <c r="DE10" i="2" l="1"/>
  <c r="DD9" i="2"/>
  <c r="DF10" i="2" l="1"/>
  <c r="DE9" i="2"/>
  <c r="DG10" i="2" l="1"/>
  <c r="DF9" i="2"/>
  <c r="DH10" i="2" l="1"/>
  <c r="DG9" i="2"/>
  <c r="DI10" i="2" l="1"/>
  <c r="DH9" i="2"/>
  <c r="DJ10" i="2" l="1"/>
  <c r="DI9" i="2"/>
  <c r="DK10" i="2" l="1"/>
  <c r="DJ9" i="2"/>
  <c r="DL10" i="2" l="1"/>
  <c r="DK9" i="2"/>
  <c r="DM10" i="2" l="1"/>
  <c r="DL9" i="2"/>
  <c r="DN10" i="2" l="1"/>
  <c r="DM9" i="2"/>
  <c r="DO10" i="2" l="1"/>
  <c r="DN9" i="2"/>
  <c r="DP10" i="2" l="1"/>
  <c r="DO9" i="2"/>
  <c r="DQ10" i="2" l="1"/>
  <c r="DP9" i="2"/>
  <c r="DR10" i="2" l="1"/>
  <c r="DQ9" i="2"/>
  <c r="DR9" i="2" l="1"/>
  <c r="DS10" i="2"/>
  <c r="DS9" i="2" l="1"/>
  <c r="DT10" i="2"/>
  <c r="DT9" i="2" l="1"/>
  <c r="DU10" i="2"/>
  <c r="DU9" i="2" l="1"/>
  <c r="DV10" i="2"/>
  <c r="DV9" i="2" l="1"/>
  <c r="DW10" i="2"/>
  <c r="DW9" i="2" l="1"/>
  <c r="DX10" i="2"/>
  <c r="DX9" i="2" l="1"/>
  <c r="DY10" i="2"/>
  <c r="DY9" i="2" l="1"/>
  <c r="DZ10" i="2"/>
  <c r="DZ9" i="2" l="1"/>
  <c r="EA10" i="2"/>
  <c r="EA9" i="2" l="1"/>
  <c r="EB10" i="2"/>
  <c r="EB9" i="2" l="1"/>
  <c r="EC10" i="2"/>
  <c r="EC9" i="2" l="1"/>
  <c r="ED10" i="2"/>
  <c r="ED9" i="2" l="1"/>
  <c r="EE10" i="2"/>
  <c r="EE9" i="2" l="1"/>
  <c r="EF10" i="2"/>
  <c r="EF9" i="2" l="1"/>
  <c r="EG10" i="2"/>
  <c r="EG9" i="2" l="1"/>
  <c r="EH10" i="2"/>
  <c r="EH9" i="2" l="1"/>
  <c r="EI10" i="2"/>
  <c r="EI9" i="2" l="1"/>
  <c r="EJ10" i="2"/>
  <c r="EJ9" i="2" l="1"/>
  <c r="EK10" i="2"/>
  <c r="EK9" i="2" l="1"/>
  <c r="EL10" i="2"/>
  <c r="EL9" i="2" l="1"/>
  <c r="EM10" i="2"/>
  <c r="EM9" i="2" l="1"/>
  <c r="EN10" i="2"/>
  <c r="EN9" i="2" l="1"/>
  <c r="EO10" i="2"/>
  <c r="EO9" i="2" l="1"/>
  <c r="EP10" i="2"/>
  <c r="EP9" i="2" l="1"/>
  <c r="EQ10" i="2"/>
  <c r="EQ9" i="2" l="1"/>
  <c r="ER10" i="2"/>
  <c r="ER9" i="2" l="1"/>
  <c r="ES10" i="2"/>
  <c r="ES9" i="2" l="1"/>
  <c r="ET10" i="2"/>
  <c r="ET9" i="2" l="1"/>
  <c r="EU10" i="2"/>
  <c r="EU9" i="2" l="1"/>
  <c r="EV10" i="2"/>
  <c r="EV9" i="2" l="1"/>
  <c r="EW10" i="2"/>
  <c r="EW9" i="2" l="1"/>
  <c r="EX10" i="2"/>
  <c r="EX9" i="2" l="1"/>
  <c r="EY10" i="2"/>
  <c r="EY9" i="2" l="1"/>
  <c r="EZ10" i="2"/>
  <c r="EZ9" i="2" l="1"/>
  <c r="FA10" i="2"/>
  <c r="FA9" i="2" l="1"/>
  <c r="FB10" i="2"/>
  <c r="FB9" i="2" l="1"/>
  <c r="FC10" i="2"/>
  <c r="FC9" i="2" l="1"/>
  <c r="FD10" i="2"/>
  <c r="FD9" i="2" l="1"/>
  <c r="FE10" i="2"/>
  <c r="FE9" i="2" l="1"/>
  <c r="FF10" i="2"/>
  <c r="FF9" i="2" l="1"/>
  <c r="FG10" i="2"/>
  <c r="FG9" i="2" l="1"/>
  <c r="FH10" i="2"/>
  <c r="FH9" i="2" l="1"/>
  <c r="FI10" i="2"/>
  <c r="FI9" i="2" l="1"/>
  <c r="FJ10" i="2"/>
  <c r="FJ9" i="2" l="1"/>
  <c r="FK10" i="2"/>
  <c r="FK9" i="2" l="1"/>
  <c r="FL10" i="2"/>
  <c r="FL9" i="2" l="1"/>
  <c r="FM10" i="2"/>
  <c r="FM9" i="2" l="1"/>
  <c r="FN10" i="2"/>
  <c r="FN9" i="2" l="1"/>
  <c r="FO10" i="2"/>
  <c r="FO9" i="2" l="1"/>
  <c r="FP10" i="2"/>
  <c r="FP9" i="2" l="1"/>
  <c r="FQ10" i="2"/>
  <c r="FQ9" i="2" l="1"/>
  <c r="FR10" i="2"/>
  <c r="FR9" i="2" l="1"/>
  <c r="FS10" i="2"/>
  <c r="FS9" i="2" l="1"/>
  <c r="FT10" i="2"/>
  <c r="FT9" i="2" l="1"/>
  <c r="FU10" i="2"/>
  <c r="FU9" i="2" l="1"/>
  <c r="FV10" i="2"/>
  <c r="FV9" i="2" l="1"/>
  <c r="FW10" i="2"/>
  <c r="FW9" i="2" l="1"/>
  <c r="FX10" i="2"/>
  <c r="FX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<sst xmlns="http://schemas.openxmlformats.org/spreadsheetml/2006/main" count="645" uniqueCount="134">
  <si>
    <t>MONTH</t>
  </si>
  <si>
    <t>YEAR</t>
  </si>
  <si>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</si>
  <si>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</si>
  <si>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</si>
  <si>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</si>
  <si>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</si>
  <si>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</si>
  <si>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</si>
  <si>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</si>
  <si>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</si>
  <si>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</si>
  <si>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</si>
  <si>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</si>
  <si>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</si>
  <si>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ATTENDANCE REGISTAR</t>
  </si>
  <si>
    <t>START DATE OF CLASS</t>
  </si>
  <si>
    <t>END DATE OF CLASS</t>
  </si>
  <si>
    <t>SUBJECT NAME :-Statistical Tool in BA</t>
  </si>
  <si>
    <t>PROF. NAME:- Dr. Prashant trivedi</t>
  </si>
  <si>
    <t>SR. NO.</t>
  </si>
  <si>
    <t>STU. NAME</t>
  </si>
  <si>
    <t>Abhay Awasthi</t>
  </si>
  <si>
    <t>A</t>
  </si>
  <si>
    <t>P</t>
  </si>
  <si>
    <t>CO</t>
  </si>
  <si>
    <t>Abhay Mahto</t>
  </si>
  <si>
    <t>Abhimanyu</t>
  </si>
  <si>
    <t>Aditi Jaiswal</t>
  </si>
  <si>
    <t>Aditya Mishra</t>
  </si>
  <si>
    <t>Akshay Kumar kanaujia</t>
  </si>
  <si>
    <t>Aman Bajpai</t>
  </si>
  <si>
    <t>Aman Kumar Yadav</t>
  </si>
  <si>
    <t>Aman pratap</t>
  </si>
  <si>
    <t>Aman singh chauhan</t>
  </si>
  <si>
    <t>Anshika Bhadouria</t>
  </si>
  <si>
    <t>Divyanshu Srivastava</t>
  </si>
  <si>
    <t>Garima</t>
  </si>
  <si>
    <t>Garima singh</t>
  </si>
  <si>
    <t>Gaurav Yadav</t>
  </si>
  <si>
    <t>Gauri Shukla</t>
  </si>
  <si>
    <t>Harsh Gond</t>
  </si>
  <si>
    <t>Harsh Pandey</t>
  </si>
  <si>
    <t>ILSA SHAKEEL</t>
  </si>
  <si>
    <t>Iram Jauhari</t>
  </si>
  <si>
    <t>Isha Saketiya</t>
  </si>
  <si>
    <t>Jeevanshi Srivastava</t>
  </si>
  <si>
    <t>Kavisha Gupta</t>
  </si>
  <si>
    <t>KM Ankita</t>
  </si>
  <si>
    <t>Komal</t>
  </si>
  <si>
    <t>Lavansh Gupta</t>
  </si>
  <si>
    <t>Manthan Bhatia</t>
  </si>
  <si>
    <t>Mohd Anas deen</t>
  </si>
  <si>
    <t>Mohd Swaib</t>
  </si>
  <si>
    <t>Nikhil Pandey</t>
  </si>
  <si>
    <t>Nikhil srivastava</t>
  </si>
  <si>
    <t>Nikhil Uttam</t>
  </si>
  <si>
    <t>Nishant Saini</t>
  </si>
  <si>
    <t>Nitin Katiyar</t>
  </si>
  <si>
    <t>PRANJAL DIKSHIT</t>
  </si>
  <si>
    <t>Prashant Yadav</t>
  </si>
  <si>
    <t>Pratibha Devi</t>
  </si>
  <si>
    <t>Pushkar Singh</t>
  </si>
  <si>
    <t>Sakshi</t>
  </si>
  <si>
    <t>Sanjana Yadav</t>
  </si>
  <si>
    <t>Shambhavi Mishra</t>
  </si>
  <si>
    <t>Shikhar kashyap</t>
  </si>
  <si>
    <t>Shivam Singh</t>
  </si>
  <si>
    <t>Shrianshi Pandey</t>
  </si>
  <si>
    <t>Vedant Gautam</t>
  </si>
  <si>
    <t>TOPIC:-</t>
  </si>
  <si>
    <t>TOTAL STUDENTS PRESENT</t>
  </si>
  <si>
    <t>Sr. No.</t>
  </si>
  <si>
    <t>Student Name</t>
  </si>
  <si>
    <t>TOTAL CLASS</t>
  </si>
  <si>
    <t>PRESENT</t>
  </si>
  <si>
    <t>ABSENT</t>
  </si>
  <si>
    <t>%</t>
  </si>
  <si>
    <t>STATUS</t>
  </si>
  <si>
    <t>Sl.No.</t>
  </si>
  <si>
    <t>ENROLLMENT NO</t>
  </si>
  <si>
    <t>STUDENT NAME</t>
  </si>
  <si>
    <t>CSJMA20000508722</t>
  </si>
  <si>
    <t>CSJMA21001448785</t>
  </si>
  <si>
    <t>CSJMA21001953553</t>
  </si>
  <si>
    <t>CSJMA21001585144</t>
  </si>
  <si>
    <t>CSJMA22000578355</t>
  </si>
  <si>
    <t>Csjma20001302884</t>
  </si>
  <si>
    <t>CSJMA25250156417</t>
  </si>
  <si>
    <t>CSJMA25000054249</t>
  </si>
  <si>
    <t>CSJMA20001316755</t>
  </si>
  <si>
    <t>CSJMA20001302890</t>
  </si>
  <si>
    <t>CSJMA21000699062</t>
  </si>
  <si>
    <t>CSJMA19000043863</t>
  </si>
  <si>
    <t>CSJMA25250178899</t>
  </si>
  <si>
    <t>CSJMA25000001028</t>
  </si>
  <si>
    <t>CSJMA20000563804</t>
  </si>
  <si>
    <t>CSJMA20000561414</t>
  </si>
  <si>
    <t>CSJMA22000016716</t>
  </si>
  <si>
    <t>CSJMA25250178430</t>
  </si>
  <si>
    <t>CSJMA21000920728</t>
  </si>
  <si>
    <t>CSJMA25000012852</t>
  </si>
  <si>
    <t>CSJMA22000024100</t>
  </si>
  <si>
    <t>CSJMA25250178675</t>
  </si>
  <si>
    <t>CSJMA22000020466</t>
  </si>
  <si>
    <t>CSJMA24000002857</t>
  </si>
  <si>
    <t>CSJMA25250179813</t>
  </si>
  <si>
    <t>CSJMA21001952562</t>
  </si>
  <si>
    <t>CSJMA22001328056</t>
  </si>
  <si>
    <t>CSJMA25000011474</t>
  </si>
  <si>
    <t>CSJMA22000886535</t>
  </si>
  <si>
    <t>CSJMA21000014202</t>
  </si>
  <si>
    <t>CSJMA21001585003</t>
  </si>
  <si>
    <t>CSJMA25250178620</t>
  </si>
  <si>
    <t>CSJMA25000001002</t>
  </si>
  <si>
    <t>CSJMA22000014258</t>
  </si>
  <si>
    <t>CSJMA19000044013</t>
  </si>
  <si>
    <t>CSJMA25000001025</t>
  </si>
  <si>
    <t>CSJMA2000726986</t>
  </si>
  <si>
    <t>CSJMA2500035298</t>
  </si>
  <si>
    <t>CSJMA22000618261</t>
  </si>
  <si>
    <t>CSJMA25000001006</t>
  </si>
  <si>
    <t>CSJMA25000037702</t>
  </si>
  <si>
    <t>CSJMA22001379106</t>
  </si>
  <si>
    <t>CSJMA16000585101</t>
  </si>
  <si>
    <t>CSJMA21001585251</t>
  </si>
  <si>
    <t>CSJMA21001945442</t>
  </si>
  <si>
    <t>INDIVIDUAL STUDENT DASHBOARD</t>
  </si>
  <si>
    <t>STUDENT NAME:-</t>
  </si>
  <si>
    <t>ENROLL NO.</t>
  </si>
  <si>
    <t>TOTAL CLASS:-</t>
  </si>
  <si>
    <t>TOTAL PRESENT:-</t>
  </si>
  <si>
    <t>TOTAL ABSENT :-</t>
  </si>
  <si>
    <t>ATTENDANCE PERCENTAGE%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</si>
</sst>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409]d\-mmm\-yy;@"/>
  </numFmts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8"/>
      <color theme="3" tint="0.249977111117893"/>
      <name val="Aptos Narrow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11"/>
      <color theme="1"/>
      <name val="Aptos Display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0" fillId="0" borderId="2" xfId="0" applyBorder="1"/>
    <xf numFmtId="0" fontId="5" fillId="0" borderId="2" xfId="0" applyFont="1" applyBorder="1"/>
    <xf numFmtId="0" fontId="0" fillId="7" borderId="0" xfId="0" applyFill="1"/>
    <xf numFmtId="0" fontId="0" fillId="3" borderId="2" xfId="0" applyFill="1" applyBorder="1"/>
    <xf numFmtId="16" fontId="0" fillId="3" borderId="2" xfId="0" applyNumberFormat="1" applyFill="1" applyBorder="1"/>
    <xf numFmtId="0" fontId="3" fillId="0" borderId="0" xfId="0" applyFont="1"/>
    <xf numFmtId="0" fontId="3" fillId="3" borderId="0" xfId="0" applyFont="1" applyFill="1"/>
    <xf numFmtId="0" fontId="3" fillId="11" borderId="0" xfId="0" applyFont="1" applyFill="1"/>
    <xf numFmtId="10" fontId="3" fillId="11" borderId="0" xfId="0" applyNumberFormat="1" applyFont="1" applyFill="1"/>
    <xf numFmtId="0" fontId="3" fillId="0" borderId="0" xfId="0" applyFont="1" applyAlignment="1">
      <alignment vertical="center"/>
    </xf>
    <xf numFmtId="0" fontId="0" fillId="0" borderId="4" xfId="0" applyFill="1" applyBorder="1"/>
    <xf numFmtId="0" fontId="7" fillId="0" borderId="5" xfId="0" applyFont="1" applyBorder="1"/>
    <xf numFmtId="0" fontId="8" fillId="0" borderId="5" xfId="0" applyFont="1" applyBorder="1"/>
    <xf numFmtId="0" fontId="0" fillId="0" borderId="5" xfId="0" applyBorder="1"/>
    <xf numFmtId="0" fontId="8" fillId="0" borderId="0" xfId="0" applyFont="1" applyBorder="1"/>
    <xf numFmtId="0" fontId="0" fillId="0" borderId="6" xfId="0" applyBorder="1"/>
    <xf numFmtId="0" fontId="9" fillId="0" borderId="2" xfId="0" applyFont="1" applyBorder="1"/>
    <xf numFmtId="0" fontId="3" fillId="9" borderId="0" xfId="0" applyFont="1" applyFill="1"/>
    <xf numFmtId="0" fontId="3" fillId="9" borderId="0" xfId="0" applyFont="1" applyFill="1" applyAlignment="1">
      <alignment vertical="center"/>
    </xf>
    <xf numFmtId="0" fontId="6" fillId="8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0" borderId="3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  <xf numFmtId="0" fontId="0" fillId="0" borderId="7" xfId="0" applyBorder="1" applyAlignment="1">
      <alignment horizontal="center" textRotation="90"/>
    </xf>
    <xf numFmtId="0" fontId="0" fillId="0" borderId="2" xfId="0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31"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numFmt numFmtId="0" formatCode="General"/>
      <alignment horizontal="right"/>
    </dxf>
    <dxf>
      <numFmt numFmtId="14" formatCode="0.00%"/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3999755851924192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25-4772-AE25-E005AB971D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25-4772-AE25-E005AB971D47}"/>
              </c:ext>
            </c:extLst>
          </c:dPt>
          <c:cat>
            <c:strRef>
              <c:f>'INDIVIDUAL ST DASHBOARD '!$B$12:$B$13</c:f>
              <c:strCache>
                <c:ptCount val="2"/>
                <c:pt idx="0">
                  <c:v>TOTAL PRESENT:-</c:v>
                </c:pt>
                <c:pt idx="1">
                  <c:v>TOTAL ABSENT :-</c:v>
                </c:pt>
              </c:strCache>
            </c:strRef>
          </c:cat>
          <c:val>
            <c:numRef>
              <c:f>'INDIVIDUAL ST DASHBOARD '!$C$12:$C$13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3-4F4F-98C6-B2C30F978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485775</xdr:colOff>
      <xdr:row>3</xdr:row>
      <xdr:rowOff>180975</xdr:rowOff>
    </xdr:from>
    <xdr:to>
      <xdr:col>10</xdr:col>
      <xdr:colOff>85725</xdr:colOff>
      <xdr:row>13</xdr:row>
      <xdr:rowOff>28575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STATUS">
              <a:extLst>
                <a:ext uri="{FF2B5EF4-FFF2-40B4-BE49-F238E27FC236}">
                  <a16:creationId xmlns:a16="http://schemas.microsoft.com/office/drawing/2014/main" id="{4BD568B1-924F-287F-9876-197881A53D29}"/>
                </a:ext>
                <a:ext uri="{147F2762-F138-4A5C-976F-8EAC2B608ADB}">
                  <a16:predDERef xmlns:a16="http://schemas.microsoft.com/office/drawing/2014/main" pred="{D172AA8C-F1D9-12CA-5B03-4DB1DB903A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850" y="752475"/>
              <a:ext cx="142875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3</xdr:row>
      <xdr:rowOff>152400</xdr:rowOff>
    </xdr:from>
    <xdr:to>
      <xdr:col>6</xdr:col>
      <xdr:colOff>523875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0CAC32-D8AC-1C07-D7DC-D802762DA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CD69A31D-82DD-4546-9705-886A018A281E}" sourceName="STATUS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F472A59E-89AD-46B2-A087-6D90F519D38D}" cache="Slicer_STATUS" caption="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8A320-A8E3-40F9-9DCA-8D55ED69EB92}" name="Table2" displayName="Table2" ref="A1:G46" totalsRowShown="0">
  <autoFilter ref="A1:G46" xr:uid="{19B8A320-A8E3-40F9-9DCA-8D55ED69EB92}"/>
  <tableColumns count="7">
    <tableColumn id="1" xr3:uid="{1B66F3E9-32F0-4E70-9018-B15775EEB3F5}" name="Sr. No.">
      <calculatedColumnFormula>A1+1</calculatedColumnFormula>
    </tableColumn>
    <tableColumn id="2" xr3:uid="{8F5E1C8B-CF91-4E89-88B2-5520CB784EAC}" name="Student Name"/>
    <tableColumn id="3" xr3:uid="{340A74DC-224E-4708-B3FC-4CCDFE5CC442}" name="TOTAL CLASS">
      <calculatedColumnFormula>'INDIVIDUAL ST DASHBOARD '!$C$11</calculatedColumnFormula>
    </tableColumn>
    <tableColumn id="4" xr3:uid="{FAB5E0C8-AFF7-4A19-9BFA-D06D66738CAE}" name="PRESENT">
      <calculatedColumnFormula>COUNTIF(_xlfn.XLOOKUP(B2,'ATTENDANCE REGI'!B11:B55,'ATTENDANCE REGI'!C11:DR55,"NO DATA",0,1),"P")</calculatedColumnFormula>
    </tableColumn>
    <tableColumn id="5" xr3:uid="{CE161DFE-7751-4E50-B144-0A8428868E8C}" name="ABSENT">
      <calculatedColumnFormula>C2-D2</calculatedColumnFormula>
    </tableColumn>
    <tableColumn id="6" xr3:uid="{C6C6FC68-9739-4CA7-804E-B1702B1BD362}" name="%" dataDxfId="6">
      <calculatedColumnFormula>D2/(D2+E2)</calculatedColumnFormula>
    </tableColumn>
    <tableColumn id="7" xr3:uid="{F47509FA-DA64-432F-BB23-6521978BF6FF}" name="STATUS" dataDxfId="5">
      <calculatedColumnFormula array="1">_xlfn.IFS(Table2[[#This Row],[%]]&gt;=75%,"REGULAR",Table2[[#This Row],[%]]&lt;=49%,"IRREGULAR",75%&gt;Table2[[#This Row],[%]]&gt;49%,"AVERAGE ATT")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F2" sqref="F2"/>
    </sheetView>
  </sheetViews>
  <sheetFormatPr defaultRowHeight="15"/>
  <cols>
    <col min="1" max="1" width="11.5703125" bestFit="1" customWidth="1"/>
  </cols>
  <sheetData>
    <row r="1" spans="1:4">
      <c r="A1" s="1" t="s">
        <v>0</v>
      </c>
      <c r="B1" s="3" t="s">
        <v>1</v>
      </c>
      <c r="C1" s="1" t="s">
        <v>2</v>
      </c>
      <c r="D1" s="1" t="s">
        <v>2</v>
      </c>
    </row>
    <row r="2" spans="1:4">
      <c r="A2" s="2" t="s">
        <v>3</v>
      </c>
      <c r="B2" s="2">
        <v>2023</v>
      </c>
      <c r="C2" s="4">
        <f>DATEVALUE("1"&amp;'ATTENDANCE REGI'!M5&amp;'ATTENDANCE REGI'!M3)</f>
        <v>46204</v>
      </c>
      <c r="D2" s="4">
        <f>DATEVALUE("1"&amp;'ATTENDANCE REGI'!V5&amp;'ATTENDANCE REGI'!V3)</f>
        <v>46357</v>
      </c>
    </row>
    <row r="3" spans="1:4">
      <c r="A3" s="2" t="s">
        <v>4</v>
      </c>
      <c r="B3" s="2">
        <v>2024</v>
      </c>
      <c r="C3" s="4">
        <f>IFERROR(IF(C2+1&gt;$A$14,"",C2+1),"")</f>
        <v>46205</v>
      </c>
      <c r="D3" s="4">
        <f>IFERROR(IF(D2+1&gt;$B$14,"",D2+1),"")</f>
        <v>46358</v>
      </c>
    </row>
    <row r="4" spans="1:4">
      <c r="A4" s="2" t="s">
        <v>5</v>
      </c>
      <c r="B4" s="2">
        <v>2025</v>
      </c>
      <c r="C4" s="4">
        <f t="shared" ref="C4:C32" si="0">IFERROR(IF(C3+1&gt;$A$14,"",C3+1),"")</f>
        <v>46206</v>
      </c>
      <c r="D4" s="4">
        <f t="shared" ref="D4:D32" si="1">IFERROR(IF(D3+1&gt;$B$14,"",D3+1),"")</f>
        <v>46359</v>
      </c>
    </row>
    <row r="5" spans="1:4">
      <c r="A5" s="2" t="s">
        <v>6</v>
      </c>
      <c r="B5" s="2">
        <v>2026</v>
      </c>
      <c r="C5" s="4">
        <f t="shared" si="0"/>
        <v>46207</v>
      </c>
      <c r="D5" s="4">
        <f t="shared" si="1"/>
        <v>46360</v>
      </c>
    </row>
    <row r="6" spans="1:4">
      <c r="A6" s="2" t="s">
        <v>7</v>
      </c>
      <c r="B6" s="2">
        <v>2027</v>
      </c>
      <c r="C6" s="4">
        <f t="shared" si="0"/>
        <v>46208</v>
      </c>
      <c r="D6" s="4">
        <f t="shared" si="1"/>
        <v>46361</v>
      </c>
    </row>
    <row r="7" spans="1:4">
      <c r="A7" s="2" t="s">
        <v>8</v>
      </c>
      <c r="B7" s="2">
        <v>2028</v>
      </c>
      <c r="C7" s="4">
        <f t="shared" si="0"/>
        <v>46209</v>
      </c>
      <c r="D7" s="4">
        <f t="shared" si="1"/>
        <v>46362</v>
      </c>
    </row>
    <row r="8" spans="1:4">
      <c r="A8" s="2" t="s">
        <v>9</v>
      </c>
      <c r="B8" s="2">
        <v>2029</v>
      </c>
      <c r="C8" s="4">
        <f t="shared" si="0"/>
        <v>46210</v>
      </c>
      <c r="D8" s="4">
        <f t="shared" si="1"/>
        <v>46363</v>
      </c>
    </row>
    <row r="9" spans="1:4">
      <c r="A9" s="2" t="s">
        <v>10</v>
      </c>
      <c r="B9" s="2">
        <v>2030</v>
      </c>
      <c r="C9" s="4">
        <f t="shared" si="0"/>
        <v>46211</v>
      </c>
      <c r="D9" s="4">
        <f t="shared" si="1"/>
        <v>46364</v>
      </c>
    </row>
    <row r="10" spans="1:4">
      <c r="A10" s="2" t="s">
        <v>11</v>
      </c>
      <c r="B10" s="2">
        <v>2031</v>
      </c>
      <c r="C10" s="4">
        <f t="shared" si="0"/>
        <v>46212</v>
      </c>
      <c r="D10" s="4">
        <f t="shared" si="1"/>
        <v>46365</v>
      </c>
    </row>
    <row r="11" spans="1:4">
      <c r="A11" s="2" t="s">
        <v>12</v>
      </c>
      <c r="B11" s="2">
        <v>2032</v>
      </c>
      <c r="C11" s="4">
        <f t="shared" si="0"/>
        <v>46213</v>
      </c>
      <c r="D11" s="4">
        <f t="shared" si="1"/>
        <v>46366</v>
      </c>
    </row>
    <row r="12" spans="1:4">
      <c r="A12" s="2" t="s">
        <v>13</v>
      </c>
      <c r="B12" s="2">
        <v>2033</v>
      </c>
      <c r="C12" s="4">
        <f t="shared" si="0"/>
        <v>46214</v>
      </c>
      <c r="D12" s="4">
        <f t="shared" si="1"/>
        <v>46367</v>
      </c>
    </row>
    <row r="13" spans="1:4">
      <c r="A13" s="2" t="s">
        <v>14</v>
      </c>
      <c r="B13" s="2">
        <v>2034</v>
      </c>
      <c r="C13" s="4">
        <f t="shared" si="0"/>
        <v>46215</v>
      </c>
      <c r="D13" s="4">
        <f t="shared" si="1"/>
        <v>46368</v>
      </c>
    </row>
    <row r="14" spans="1:4">
      <c r="A14" s="4">
        <f>EOMONTH(C2,0)</f>
        <v>46234</v>
      </c>
      <c r="B14" s="4">
        <f>EOMONTH(D2,0)</f>
        <v>46387</v>
      </c>
      <c r="C14" s="4">
        <f t="shared" si="0"/>
        <v>46216</v>
      </c>
      <c r="D14" s="4">
        <f t="shared" si="1"/>
        <v>46369</v>
      </c>
    </row>
    <row r="15" spans="1:4">
      <c r="C15" s="4">
        <f t="shared" si="0"/>
        <v>46217</v>
      </c>
      <c r="D15" s="4">
        <f t="shared" si="1"/>
        <v>46370</v>
      </c>
    </row>
    <row r="16" spans="1:4">
      <c r="C16" s="4">
        <f t="shared" si="0"/>
        <v>46218</v>
      </c>
      <c r="D16" s="4">
        <f t="shared" si="1"/>
        <v>46371</v>
      </c>
    </row>
    <row r="17" spans="3:4">
      <c r="C17" s="4">
        <f t="shared" si="0"/>
        <v>46219</v>
      </c>
      <c r="D17" s="4">
        <f t="shared" si="1"/>
        <v>46372</v>
      </c>
    </row>
    <row r="18" spans="3:4">
      <c r="C18" s="4">
        <f t="shared" si="0"/>
        <v>46220</v>
      </c>
      <c r="D18" s="4">
        <f t="shared" si="1"/>
        <v>46373</v>
      </c>
    </row>
    <row r="19" spans="3:4">
      <c r="C19" s="4">
        <f t="shared" si="0"/>
        <v>46221</v>
      </c>
      <c r="D19" s="4">
        <f t="shared" si="1"/>
        <v>46374</v>
      </c>
    </row>
    <row r="20" spans="3:4">
      <c r="C20" s="4">
        <f t="shared" si="0"/>
        <v>46222</v>
      </c>
      <c r="D20" s="4">
        <f t="shared" si="1"/>
        <v>46375</v>
      </c>
    </row>
    <row r="21" spans="3:4">
      <c r="C21" s="4">
        <f t="shared" si="0"/>
        <v>46223</v>
      </c>
      <c r="D21" s="4">
        <f t="shared" si="1"/>
        <v>46376</v>
      </c>
    </row>
    <row r="22" spans="3:4">
      <c r="C22" s="4">
        <f t="shared" si="0"/>
        <v>46224</v>
      </c>
      <c r="D22" s="4">
        <f t="shared" si="1"/>
        <v>46377</v>
      </c>
    </row>
    <row r="23" spans="3:4">
      <c r="C23" s="4">
        <f t="shared" si="0"/>
        <v>46225</v>
      </c>
      <c r="D23" s="4">
        <f t="shared" si="1"/>
        <v>46378</v>
      </c>
    </row>
    <row r="24" spans="3:4">
      <c r="C24" s="4">
        <f t="shared" si="0"/>
        <v>46226</v>
      </c>
      <c r="D24" s="4">
        <f t="shared" si="1"/>
        <v>46379</v>
      </c>
    </row>
    <row r="25" spans="3:4">
      <c r="C25" s="4">
        <f t="shared" si="0"/>
        <v>46227</v>
      </c>
      <c r="D25" s="4">
        <f t="shared" si="1"/>
        <v>46380</v>
      </c>
    </row>
    <row r="26" spans="3:4">
      <c r="C26" s="4">
        <f t="shared" si="0"/>
        <v>46228</v>
      </c>
      <c r="D26" s="4">
        <f t="shared" si="1"/>
        <v>46381</v>
      </c>
    </row>
    <row r="27" spans="3:4">
      <c r="C27" s="4">
        <f t="shared" si="0"/>
        <v>46229</v>
      </c>
      <c r="D27" s="4">
        <f t="shared" si="1"/>
        <v>46382</v>
      </c>
    </row>
    <row r="28" spans="3:4">
      <c r="C28" s="4">
        <f t="shared" si="0"/>
        <v>46230</v>
      </c>
      <c r="D28" s="4">
        <f t="shared" si="1"/>
        <v>46383</v>
      </c>
    </row>
    <row r="29" spans="3:4">
      <c r="C29" s="4">
        <f t="shared" si="0"/>
        <v>46231</v>
      </c>
      <c r="D29" s="4">
        <f t="shared" si="1"/>
        <v>46384</v>
      </c>
    </row>
    <row r="30" spans="3:4">
      <c r="C30" s="4">
        <f t="shared" si="0"/>
        <v>46232</v>
      </c>
      <c r="D30" s="4">
        <f t="shared" si="1"/>
        <v>46385</v>
      </c>
    </row>
    <row r="31" spans="3:4">
      <c r="C31" s="4">
        <f t="shared" si="0"/>
        <v>46233</v>
      </c>
      <c r="D31" s="4">
        <f t="shared" si="1"/>
        <v>46386</v>
      </c>
    </row>
    <row r="32" spans="3:4">
      <c r="C32" s="4">
        <f t="shared" si="0"/>
        <v>46234</v>
      </c>
      <c r="D32" s="4">
        <f t="shared" si="1"/>
        <v>46387</v>
      </c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4DC9-1386-4489-8346-335DC817E1E5}">
  <dimension ref="A1:FX61"/>
  <sheetViews>
    <sheetView showGridLines="0" topLeftCell="A26" workbookViewId="0">
      <pane xSplit="9" topLeftCell="J1" activePane="topRight" state="frozen"/>
      <selection pane="topRight" activeCell="F11" sqref="F11"/>
    </sheetView>
  </sheetViews>
  <sheetFormatPr defaultRowHeight="15"/>
  <cols>
    <col min="1" max="1" width="7.7109375" bestFit="1" customWidth="1"/>
    <col min="2" max="2" width="25" bestFit="1" customWidth="1"/>
    <col min="3" max="14" width="6.28515625" bestFit="1" customWidth="1"/>
    <col min="15" max="23" width="6.140625" bestFit="1" customWidth="1"/>
    <col min="24" max="45" width="7.140625" bestFit="1" customWidth="1"/>
    <col min="46" max="54" width="6.140625" bestFit="1" customWidth="1"/>
    <col min="55" max="75" width="7.28515625" bestFit="1" customWidth="1"/>
    <col min="76" max="84" width="6" bestFit="1" customWidth="1"/>
    <col min="85" max="106" width="7" bestFit="1" customWidth="1"/>
    <col min="107" max="115" width="6.28515625" bestFit="1" customWidth="1"/>
    <col min="116" max="122" width="7.28515625" bestFit="1" customWidth="1"/>
  </cols>
  <sheetData>
    <row r="1" spans="1:180">
      <c r="A1" s="33" t="s">
        <v>15</v>
      </c>
      <c r="B1" s="33"/>
      <c r="C1" s="33"/>
      <c r="D1" s="33"/>
      <c r="E1" s="33"/>
      <c r="F1" s="33"/>
      <c r="G1" s="33"/>
      <c r="H1" s="33"/>
      <c r="I1" s="33"/>
      <c r="K1" s="29" t="s">
        <v>16</v>
      </c>
      <c r="L1" s="29"/>
      <c r="M1" s="29"/>
      <c r="N1" s="29"/>
      <c r="O1" s="29"/>
      <c r="P1" s="29"/>
      <c r="Q1" s="29"/>
      <c r="R1" s="29"/>
      <c r="T1" s="32" t="s">
        <v>17</v>
      </c>
      <c r="U1" s="32"/>
      <c r="V1" s="32"/>
      <c r="W1" s="32"/>
      <c r="X1" s="32"/>
      <c r="Y1" s="32"/>
      <c r="Z1" s="32"/>
      <c r="AA1" s="32"/>
    </row>
    <row r="2" spans="1:180">
      <c r="A2" s="33"/>
      <c r="B2" s="33"/>
      <c r="C2" s="33"/>
      <c r="D2" s="33"/>
      <c r="E2" s="33"/>
      <c r="F2" s="33"/>
      <c r="G2" s="33"/>
      <c r="H2" s="33"/>
      <c r="I2" s="33"/>
      <c r="K2" s="29"/>
      <c r="L2" s="29"/>
      <c r="M2" s="29"/>
      <c r="N2" s="29"/>
      <c r="O2" s="29"/>
      <c r="P2" s="29"/>
      <c r="Q2" s="29"/>
      <c r="R2" s="29"/>
      <c r="T2" s="32"/>
      <c r="U2" s="32"/>
      <c r="V2" s="32"/>
      <c r="W2" s="32"/>
      <c r="X2" s="32"/>
      <c r="Y2" s="32"/>
      <c r="Z2" s="32"/>
      <c r="AA2" s="32"/>
    </row>
    <row r="3" spans="1:180">
      <c r="A3" s="34" t="s">
        <v>18</v>
      </c>
      <c r="B3" s="34"/>
      <c r="C3" s="34"/>
      <c r="D3" s="34"/>
      <c r="E3" s="34"/>
      <c r="F3" s="34"/>
      <c r="G3" s="34"/>
      <c r="H3" s="34"/>
      <c r="I3" s="34"/>
      <c r="K3" s="29" t="s">
        <v>1</v>
      </c>
      <c r="L3" s="29"/>
      <c r="M3" s="29">
        <v>2026</v>
      </c>
      <c r="N3" s="29"/>
      <c r="O3" s="29" t="s">
        <v>2</v>
      </c>
      <c r="P3" s="29"/>
      <c r="Q3" s="30">
        <v>46223</v>
      </c>
      <c r="R3" s="30"/>
      <c r="T3" s="32" t="s">
        <v>1</v>
      </c>
      <c r="U3" s="32"/>
      <c r="V3" s="32">
        <v>2026</v>
      </c>
      <c r="W3" s="32"/>
      <c r="X3" s="32" t="s">
        <v>2</v>
      </c>
      <c r="Y3" s="32"/>
      <c r="Z3" s="35">
        <v>46387</v>
      </c>
      <c r="AA3" s="35"/>
    </row>
    <row r="4" spans="1:180">
      <c r="A4" s="34"/>
      <c r="B4" s="34"/>
      <c r="C4" s="34"/>
      <c r="D4" s="34"/>
      <c r="E4" s="34"/>
      <c r="F4" s="34"/>
      <c r="G4" s="34"/>
      <c r="H4" s="34"/>
      <c r="I4" s="34"/>
      <c r="K4" s="29"/>
      <c r="L4" s="29"/>
      <c r="M4" s="29"/>
      <c r="N4" s="29"/>
      <c r="O4" s="29"/>
      <c r="P4" s="29"/>
      <c r="Q4" s="30"/>
      <c r="R4" s="30"/>
      <c r="T4" s="32"/>
      <c r="U4" s="32"/>
      <c r="V4" s="32"/>
      <c r="W4" s="32"/>
      <c r="X4" s="32"/>
      <c r="Y4" s="32"/>
      <c r="Z4" s="35"/>
      <c r="AA4" s="35"/>
    </row>
    <row r="5" spans="1:180">
      <c r="A5" s="34" t="s">
        <v>19</v>
      </c>
      <c r="B5" s="34"/>
      <c r="C5" s="34"/>
      <c r="D5" s="34"/>
      <c r="E5" s="34"/>
      <c r="F5" s="34"/>
      <c r="G5" s="34"/>
      <c r="H5" s="34"/>
      <c r="I5" s="34"/>
      <c r="K5" s="29" t="s">
        <v>0</v>
      </c>
      <c r="L5" s="29"/>
      <c r="M5" s="29" t="s">
        <v>9</v>
      </c>
      <c r="N5" s="29"/>
      <c r="O5" s="31">
        <f>Q3</f>
        <v>46223</v>
      </c>
      <c r="P5" s="31"/>
      <c r="Q5" s="31"/>
      <c r="R5" s="31"/>
      <c r="T5" s="32" t="s">
        <v>0</v>
      </c>
      <c r="U5" s="32"/>
      <c r="V5" s="32" t="s">
        <v>14</v>
      </c>
      <c r="W5" s="32"/>
      <c r="X5" s="36">
        <f>Z3</f>
        <v>46387</v>
      </c>
      <c r="Y5" s="36"/>
      <c r="Z5" s="36"/>
      <c r="AA5" s="36"/>
    </row>
    <row r="6" spans="1:180">
      <c r="A6" s="34"/>
      <c r="B6" s="34"/>
      <c r="C6" s="34"/>
      <c r="D6" s="34"/>
      <c r="E6" s="34"/>
      <c r="F6" s="34"/>
      <c r="G6" s="34"/>
      <c r="H6" s="34"/>
      <c r="I6" s="34"/>
      <c r="K6" s="29"/>
      <c r="L6" s="29"/>
      <c r="M6" s="29"/>
      <c r="N6" s="29"/>
      <c r="O6" s="31"/>
      <c r="P6" s="31"/>
      <c r="Q6" s="31"/>
      <c r="R6" s="31"/>
      <c r="T6" s="32"/>
      <c r="U6" s="32"/>
      <c r="V6" s="32"/>
      <c r="W6" s="32"/>
      <c r="X6" s="36"/>
      <c r="Y6" s="36"/>
      <c r="Z6" s="36"/>
      <c r="AA6" s="36"/>
    </row>
    <row r="7" spans="1:180">
      <c r="K7" s="8"/>
      <c r="L7" s="8"/>
      <c r="M7" s="8"/>
      <c r="N7" s="8"/>
      <c r="O7" s="8"/>
      <c r="P7" s="8"/>
      <c r="Q7" s="8"/>
      <c r="R7" s="8"/>
    </row>
    <row r="9" spans="1:180">
      <c r="A9" s="27" t="s">
        <v>20</v>
      </c>
      <c r="B9" s="27" t="s">
        <v>21</v>
      </c>
      <c r="C9" s="9" t="str">
        <f>TEXT(C10,"DDD")</f>
        <v>Mon</v>
      </c>
      <c r="D9" s="9" t="str">
        <f>TEXT(D10,"DDD")</f>
        <v>Tue</v>
      </c>
      <c r="E9" s="9" t="str">
        <f t="shared" ref="E9:BP9" si="0">TEXT(E10,"DDD")</f>
        <v>Wed</v>
      </c>
      <c r="F9" s="9" t="str">
        <f t="shared" si="0"/>
        <v>Thu</v>
      </c>
      <c r="G9" s="9" t="str">
        <f t="shared" si="0"/>
        <v>Fri</v>
      </c>
      <c r="H9" s="9" t="str">
        <f t="shared" si="0"/>
        <v>Sat</v>
      </c>
      <c r="I9" s="9" t="str">
        <f t="shared" si="0"/>
        <v>Sun</v>
      </c>
      <c r="J9" s="9" t="str">
        <f t="shared" si="0"/>
        <v>Mon</v>
      </c>
      <c r="K9" s="9" t="str">
        <f t="shared" si="0"/>
        <v>Tue</v>
      </c>
      <c r="L9" s="9" t="str">
        <f t="shared" si="0"/>
        <v>Wed</v>
      </c>
      <c r="M9" s="9" t="str">
        <f t="shared" si="0"/>
        <v>Thu</v>
      </c>
      <c r="N9" s="9" t="str">
        <f t="shared" si="0"/>
        <v>Fri</v>
      </c>
      <c r="O9" s="9" t="str">
        <f t="shared" si="0"/>
        <v>Sat</v>
      </c>
      <c r="P9" s="9" t="str">
        <f t="shared" si="0"/>
        <v>Sun</v>
      </c>
      <c r="Q9" s="9" t="str">
        <f t="shared" si="0"/>
        <v>Mon</v>
      </c>
      <c r="R9" s="9" t="str">
        <f t="shared" si="0"/>
        <v>Tue</v>
      </c>
      <c r="S9" s="9" t="str">
        <f t="shared" si="0"/>
        <v>Wed</v>
      </c>
      <c r="T9" s="9" t="str">
        <f t="shared" si="0"/>
        <v>Thu</v>
      </c>
      <c r="U9" s="9" t="str">
        <f t="shared" si="0"/>
        <v>Fri</v>
      </c>
      <c r="V9" s="9" t="str">
        <f t="shared" si="0"/>
        <v>Sat</v>
      </c>
      <c r="W9" s="9" t="str">
        <f t="shared" si="0"/>
        <v>Sun</v>
      </c>
      <c r="X9" s="9" t="str">
        <f t="shared" si="0"/>
        <v>Mon</v>
      </c>
      <c r="Y9" s="9" t="str">
        <f t="shared" si="0"/>
        <v>Tue</v>
      </c>
      <c r="Z9" s="9" t="str">
        <f t="shared" si="0"/>
        <v>Wed</v>
      </c>
      <c r="AA9" s="9" t="str">
        <f t="shared" si="0"/>
        <v>Thu</v>
      </c>
      <c r="AB9" s="9" t="str">
        <f t="shared" si="0"/>
        <v>Fri</v>
      </c>
      <c r="AC9" s="9" t="str">
        <f t="shared" si="0"/>
        <v>Sat</v>
      </c>
      <c r="AD9" s="9" t="str">
        <f t="shared" si="0"/>
        <v>Sun</v>
      </c>
      <c r="AE9" s="9" t="str">
        <f t="shared" si="0"/>
        <v>Mon</v>
      </c>
      <c r="AF9" s="9" t="str">
        <f t="shared" si="0"/>
        <v>Tue</v>
      </c>
      <c r="AG9" s="9" t="str">
        <f t="shared" si="0"/>
        <v>Wed</v>
      </c>
      <c r="AH9" s="9" t="str">
        <f t="shared" si="0"/>
        <v>Thu</v>
      </c>
      <c r="AI9" s="9" t="str">
        <f t="shared" si="0"/>
        <v>Fri</v>
      </c>
      <c r="AJ9" s="9" t="str">
        <f t="shared" si="0"/>
        <v>Sat</v>
      </c>
      <c r="AK9" s="9" t="str">
        <f t="shared" si="0"/>
        <v>Sun</v>
      </c>
      <c r="AL9" s="9" t="str">
        <f t="shared" si="0"/>
        <v>Mon</v>
      </c>
      <c r="AM9" s="9" t="str">
        <f t="shared" si="0"/>
        <v>Tue</v>
      </c>
      <c r="AN9" s="9" t="str">
        <f t="shared" si="0"/>
        <v>Wed</v>
      </c>
      <c r="AO9" s="9" t="str">
        <f t="shared" si="0"/>
        <v>Thu</v>
      </c>
      <c r="AP9" s="9" t="str">
        <f t="shared" si="0"/>
        <v>Fri</v>
      </c>
      <c r="AQ9" s="9" t="str">
        <f t="shared" si="0"/>
        <v>Sat</v>
      </c>
      <c r="AR9" s="9" t="str">
        <f t="shared" si="0"/>
        <v>Sun</v>
      </c>
      <c r="AS9" s="9" t="str">
        <f t="shared" si="0"/>
        <v>Mon</v>
      </c>
      <c r="AT9" s="9" t="str">
        <f t="shared" si="0"/>
        <v>Tue</v>
      </c>
      <c r="AU9" s="9" t="str">
        <f t="shared" si="0"/>
        <v>Wed</v>
      </c>
      <c r="AV9" s="9" t="str">
        <f t="shared" si="0"/>
        <v>Thu</v>
      </c>
      <c r="AW9" s="9" t="str">
        <f t="shared" si="0"/>
        <v>Fri</v>
      </c>
      <c r="AX9" s="9" t="str">
        <f t="shared" si="0"/>
        <v>Sat</v>
      </c>
      <c r="AY9" s="9" t="str">
        <f t="shared" si="0"/>
        <v>Sun</v>
      </c>
      <c r="AZ9" s="9" t="str">
        <f t="shared" si="0"/>
        <v>Mon</v>
      </c>
      <c r="BA9" s="9" t="str">
        <f t="shared" si="0"/>
        <v>Tue</v>
      </c>
      <c r="BB9" s="9" t="str">
        <f t="shared" si="0"/>
        <v>Wed</v>
      </c>
      <c r="BC9" s="9" t="str">
        <f t="shared" si="0"/>
        <v>Thu</v>
      </c>
      <c r="BD9" s="9" t="str">
        <f t="shared" si="0"/>
        <v>Fri</v>
      </c>
      <c r="BE9" s="9" t="str">
        <f t="shared" si="0"/>
        <v>Sat</v>
      </c>
      <c r="BF9" s="9" t="str">
        <f t="shared" si="0"/>
        <v>Sun</v>
      </c>
      <c r="BG9" s="9" t="str">
        <f t="shared" si="0"/>
        <v>Mon</v>
      </c>
      <c r="BH9" s="9" t="str">
        <f t="shared" si="0"/>
        <v>Tue</v>
      </c>
      <c r="BI9" s="9" t="str">
        <f t="shared" si="0"/>
        <v>Wed</v>
      </c>
      <c r="BJ9" s="9" t="str">
        <f t="shared" si="0"/>
        <v>Thu</v>
      </c>
      <c r="BK9" s="9" t="str">
        <f t="shared" si="0"/>
        <v>Fri</v>
      </c>
      <c r="BL9" s="9" t="str">
        <f t="shared" si="0"/>
        <v>Sat</v>
      </c>
      <c r="BM9" s="9" t="str">
        <f t="shared" si="0"/>
        <v>Sun</v>
      </c>
      <c r="BN9" s="9" t="str">
        <f t="shared" si="0"/>
        <v>Mon</v>
      </c>
      <c r="BO9" s="9" t="str">
        <f t="shared" si="0"/>
        <v>Tue</v>
      </c>
      <c r="BP9" s="9" t="str">
        <f t="shared" si="0"/>
        <v>Wed</v>
      </c>
      <c r="BQ9" s="9" t="str">
        <f t="shared" ref="BQ9:EB9" si="1">TEXT(BQ10,"DDD")</f>
        <v>Thu</v>
      </c>
      <c r="BR9" s="9" t="str">
        <f t="shared" si="1"/>
        <v>Fri</v>
      </c>
      <c r="BS9" s="9" t="str">
        <f t="shared" si="1"/>
        <v>Sat</v>
      </c>
      <c r="BT9" s="9" t="str">
        <f t="shared" si="1"/>
        <v>Sun</v>
      </c>
      <c r="BU9" s="9" t="str">
        <f t="shared" si="1"/>
        <v>Mon</v>
      </c>
      <c r="BV9" s="9" t="str">
        <f t="shared" si="1"/>
        <v>Tue</v>
      </c>
      <c r="BW9" s="9" t="str">
        <f t="shared" si="1"/>
        <v>Wed</v>
      </c>
      <c r="BX9" s="9" t="str">
        <f t="shared" si="1"/>
        <v>Thu</v>
      </c>
      <c r="BY9" s="9" t="str">
        <f t="shared" si="1"/>
        <v>Fri</v>
      </c>
      <c r="BZ9" s="9" t="str">
        <f t="shared" si="1"/>
        <v>Sat</v>
      </c>
      <c r="CA9" s="9" t="str">
        <f t="shared" si="1"/>
        <v>Sun</v>
      </c>
      <c r="CB9" s="9" t="str">
        <f t="shared" si="1"/>
        <v>Mon</v>
      </c>
      <c r="CC9" s="9" t="str">
        <f t="shared" si="1"/>
        <v>Tue</v>
      </c>
      <c r="CD9" s="9" t="str">
        <f t="shared" si="1"/>
        <v>Wed</v>
      </c>
      <c r="CE9" s="9" t="str">
        <f t="shared" si="1"/>
        <v>Thu</v>
      </c>
      <c r="CF9" s="9" t="str">
        <f t="shared" si="1"/>
        <v>Fri</v>
      </c>
      <c r="CG9" s="9" t="str">
        <f t="shared" si="1"/>
        <v>Sat</v>
      </c>
      <c r="CH9" s="9" t="str">
        <f t="shared" si="1"/>
        <v>Sun</v>
      </c>
      <c r="CI9" s="9" t="str">
        <f t="shared" si="1"/>
        <v>Mon</v>
      </c>
      <c r="CJ9" s="9" t="str">
        <f t="shared" si="1"/>
        <v>Tue</v>
      </c>
      <c r="CK9" s="9" t="str">
        <f t="shared" si="1"/>
        <v>Wed</v>
      </c>
      <c r="CL9" s="9" t="str">
        <f t="shared" si="1"/>
        <v>Thu</v>
      </c>
      <c r="CM9" s="9" t="str">
        <f t="shared" si="1"/>
        <v>Fri</v>
      </c>
      <c r="CN9" s="9" t="str">
        <f t="shared" si="1"/>
        <v>Sat</v>
      </c>
      <c r="CO9" s="9" t="str">
        <f t="shared" si="1"/>
        <v>Sun</v>
      </c>
      <c r="CP9" s="9" t="str">
        <f t="shared" si="1"/>
        <v>Mon</v>
      </c>
      <c r="CQ9" s="9" t="str">
        <f t="shared" si="1"/>
        <v>Tue</v>
      </c>
      <c r="CR9" s="9" t="str">
        <f t="shared" si="1"/>
        <v>Wed</v>
      </c>
      <c r="CS9" s="9" t="str">
        <f t="shared" si="1"/>
        <v>Thu</v>
      </c>
      <c r="CT9" s="9" t="str">
        <f t="shared" si="1"/>
        <v>Fri</v>
      </c>
      <c r="CU9" s="9" t="str">
        <f t="shared" si="1"/>
        <v>Sat</v>
      </c>
      <c r="CV9" s="9" t="str">
        <f t="shared" si="1"/>
        <v>Sun</v>
      </c>
      <c r="CW9" s="9" t="str">
        <f t="shared" si="1"/>
        <v>Mon</v>
      </c>
      <c r="CX9" s="9" t="str">
        <f t="shared" si="1"/>
        <v>Tue</v>
      </c>
      <c r="CY9" s="9" t="str">
        <f t="shared" si="1"/>
        <v>Wed</v>
      </c>
      <c r="CZ9" s="9" t="str">
        <f t="shared" si="1"/>
        <v>Thu</v>
      </c>
      <c r="DA9" s="9" t="str">
        <f t="shared" si="1"/>
        <v>Fri</v>
      </c>
      <c r="DB9" s="9" t="str">
        <f t="shared" si="1"/>
        <v>Sat</v>
      </c>
      <c r="DC9" s="9" t="str">
        <f t="shared" si="1"/>
        <v>Sun</v>
      </c>
      <c r="DD9" s="9" t="str">
        <f t="shared" si="1"/>
        <v>Mon</v>
      </c>
      <c r="DE9" s="9" t="str">
        <f t="shared" si="1"/>
        <v>Tue</v>
      </c>
      <c r="DF9" s="9" t="str">
        <f t="shared" si="1"/>
        <v>Wed</v>
      </c>
      <c r="DG9" s="9" t="str">
        <f t="shared" si="1"/>
        <v>Thu</v>
      </c>
      <c r="DH9" s="9" t="str">
        <f t="shared" si="1"/>
        <v>Fri</v>
      </c>
      <c r="DI9" s="9" t="str">
        <f t="shared" si="1"/>
        <v>Sat</v>
      </c>
      <c r="DJ9" s="9" t="str">
        <f t="shared" si="1"/>
        <v>Sun</v>
      </c>
      <c r="DK9" s="9" t="str">
        <f t="shared" si="1"/>
        <v>Mon</v>
      </c>
      <c r="DL9" s="9" t="str">
        <f t="shared" si="1"/>
        <v>Tue</v>
      </c>
      <c r="DM9" s="9" t="str">
        <f t="shared" si="1"/>
        <v>Wed</v>
      </c>
      <c r="DN9" s="9" t="str">
        <f t="shared" si="1"/>
        <v>Thu</v>
      </c>
      <c r="DO9" s="9" t="str">
        <f t="shared" si="1"/>
        <v>Fri</v>
      </c>
      <c r="DP9" s="9" t="str">
        <f t="shared" si="1"/>
        <v>Sat</v>
      </c>
      <c r="DQ9" s="9" t="str">
        <f t="shared" si="1"/>
        <v>Sun</v>
      </c>
      <c r="DR9" s="9" t="str">
        <f t="shared" si="1"/>
        <v>Mon</v>
      </c>
      <c r="DS9" s="9" t="str">
        <f t="shared" si="1"/>
        <v>Tue</v>
      </c>
      <c r="DT9" s="9" t="str">
        <f t="shared" si="1"/>
        <v>Wed</v>
      </c>
      <c r="DU9" s="9" t="str">
        <f t="shared" si="1"/>
        <v>Thu</v>
      </c>
      <c r="DV9" s="9" t="str">
        <f t="shared" si="1"/>
        <v>Fri</v>
      </c>
      <c r="DW9" s="9" t="str">
        <f t="shared" si="1"/>
        <v>Sat</v>
      </c>
      <c r="DX9" s="9" t="str">
        <f t="shared" si="1"/>
        <v>Sun</v>
      </c>
      <c r="DY9" s="9" t="str">
        <f t="shared" si="1"/>
        <v>Mon</v>
      </c>
      <c r="DZ9" s="9" t="str">
        <f t="shared" si="1"/>
        <v>Tue</v>
      </c>
      <c r="EA9" s="9" t="str">
        <f t="shared" si="1"/>
        <v>Wed</v>
      </c>
      <c r="EB9" s="9" t="str">
        <f t="shared" si="1"/>
        <v>Thu</v>
      </c>
      <c r="EC9" s="9" t="str">
        <f t="shared" ref="EC9:FX9" si="2">TEXT(EC10,"DDD")</f>
        <v>Fri</v>
      </c>
      <c r="ED9" s="9" t="str">
        <f t="shared" si="2"/>
        <v>Sat</v>
      </c>
      <c r="EE9" s="9" t="str">
        <f t="shared" si="2"/>
        <v>Sun</v>
      </c>
      <c r="EF9" s="9" t="str">
        <f t="shared" si="2"/>
        <v>Mon</v>
      </c>
      <c r="EG9" s="9" t="str">
        <f t="shared" si="2"/>
        <v>Tue</v>
      </c>
      <c r="EH9" s="9" t="str">
        <f t="shared" si="2"/>
        <v>Wed</v>
      </c>
      <c r="EI9" s="9" t="str">
        <f t="shared" si="2"/>
        <v>Thu</v>
      </c>
      <c r="EJ9" s="9" t="str">
        <f t="shared" si="2"/>
        <v>Fri</v>
      </c>
      <c r="EK9" s="9" t="str">
        <f t="shared" si="2"/>
        <v>Sat</v>
      </c>
      <c r="EL9" s="9" t="str">
        <f t="shared" si="2"/>
        <v>Sun</v>
      </c>
      <c r="EM9" s="9" t="str">
        <f t="shared" si="2"/>
        <v>Mon</v>
      </c>
      <c r="EN9" s="9" t="str">
        <f t="shared" si="2"/>
        <v>Tue</v>
      </c>
      <c r="EO9" s="9" t="str">
        <f t="shared" si="2"/>
        <v>Wed</v>
      </c>
      <c r="EP9" s="9" t="str">
        <f t="shared" si="2"/>
        <v>Thu</v>
      </c>
      <c r="EQ9" s="9" t="str">
        <f t="shared" si="2"/>
        <v>Fri</v>
      </c>
      <c r="ER9" s="9" t="str">
        <f t="shared" si="2"/>
        <v>Sat</v>
      </c>
      <c r="ES9" s="9" t="str">
        <f t="shared" si="2"/>
        <v>Sun</v>
      </c>
      <c r="ET9" s="9" t="str">
        <f t="shared" si="2"/>
        <v>Mon</v>
      </c>
      <c r="EU9" s="9" t="str">
        <f t="shared" si="2"/>
        <v>Tue</v>
      </c>
      <c r="EV9" s="9" t="str">
        <f t="shared" si="2"/>
        <v>Wed</v>
      </c>
      <c r="EW9" s="9" t="str">
        <f t="shared" si="2"/>
        <v>Thu</v>
      </c>
      <c r="EX9" s="9" t="str">
        <f t="shared" si="2"/>
        <v>Fri</v>
      </c>
      <c r="EY9" s="9" t="str">
        <f t="shared" si="2"/>
        <v>Sat</v>
      </c>
      <c r="EZ9" s="9" t="str">
        <f t="shared" si="2"/>
        <v>Sun</v>
      </c>
      <c r="FA9" s="9" t="str">
        <f t="shared" si="2"/>
        <v>Mon</v>
      </c>
      <c r="FB9" s="9" t="str">
        <f t="shared" si="2"/>
        <v>Tue</v>
      </c>
      <c r="FC9" s="9" t="str">
        <f t="shared" si="2"/>
        <v>Wed</v>
      </c>
      <c r="FD9" s="9" t="str">
        <f t="shared" si="2"/>
        <v>Thu</v>
      </c>
      <c r="FE9" s="9" t="str">
        <f t="shared" si="2"/>
        <v>Fri</v>
      </c>
      <c r="FF9" s="9" t="str">
        <f t="shared" si="2"/>
        <v>Sat</v>
      </c>
      <c r="FG9" s="9" t="str">
        <f t="shared" si="2"/>
        <v>Sun</v>
      </c>
      <c r="FH9" s="9" t="str">
        <f t="shared" si="2"/>
        <v>Mon</v>
      </c>
      <c r="FI9" s="9" t="str">
        <f t="shared" si="2"/>
        <v>Tue</v>
      </c>
      <c r="FJ9" s="9" t="str">
        <f t="shared" si="2"/>
        <v>Wed</v>
      </c>
      <c r="FK9" s="9" t="str">
        <f t="shared" si="2"/>
        <v>Thu</v>
      </c>
      <c r="FL9" s="9" t="str">
        <f t="shared" si="2"/>
        <v/>
      </c>
      <c r="FM9" s="9" t="str">
        <f t="shared" si="2"/>
        <v/>
      </c>
      <c r="FN9" s="9" t="str">
        <f t="shared" si="2"/>
        <v/>
      </c>
      <c r="FO9" s="9" t="str">
        <f t="shared" si="2"/>
        <v/>
      </c>
      <c r="FP9" s="9" t="str">
        <f t="shared" si="2"/>
        <v/>
      </c>
      <c r="FQ9" s="9" t="str">
        <f t="shared" si="2"/>
        <v/>
      </c>
      <c r="FR9" s="9" t="str">
        <f t="shared" si="2"/>
        <v/>
      </c>
      <c r="FS9" s="9" t="str">
        <f t="shared" si="2"/>
        <v/>
      </c>
      <c r="FT9" s="9" t="str">
        <f t="shared" si="2"/>
        <v/>
      </c>
      <c r="FU9" s="9" t="str">
        <f t="shared" si="2"/>
        <v/>
      </c>
      <c r="FV9" s="9" t="str">
        <f t="shared" si="2"/>
        <v/>
      </c>
      <c r="FW9" s="9" t="str">
        <f t="shared" si="2"/>
        <v/>
      </c>
      <c r="FX9" s="9" t="str">
        <f t="shared" si="2"/>
        <v/>
      </c>
    </row>
    <row r="10" spans="1:180">
      <c r="A10" s="27"/>
      <c r="B10" s="28"/>
      <c r="C10" s="10">
        <f>Q3</f>
        <v>46223</v>
      </c>
      <c r="D10" s="10">
        <f>IFERROR(IF(C10+1&gt;$Z$3,"",C10+1),"")</f>
        <v>46224</v>
      </c>
      <c r="E10" s="10">
        <f t="shared" ref="E10:AV10" si="3">IFERROR(IF(D10+1&gt;$Z$3,"",D10+1),"")</f>
        <v>46225</v>
      </c>
      <c r="F10" s="10">
        <f t="shared" si="3"/>
        <v>46226</v>
      </c>
      <c r="G10" s="10">
        <f t="shared" si="3"/>
        <v>46227</v>
      </c>
      <c r="H10" s="10">
        <f t="shared" si="3"/>
        <v>46228</v>
      </c>
      <c r="I10" s="10">
        <f t="shared" si="3"/>
        <v>46229</v>
      </c>
      <c r="J10" s="10">
        <f t="shared" si="3"/>
        <v>46230</v>
      </c>
      <c r="K10" s="10">
        <f t="shared" si="3"/>
        <v>46231</v>
      </c>
      <c r="L10" s="10">
        <f t="shared" si="3"/>
        <v>46232</v>
      </c>
      <c r="M10" s="10">
        <f t="shared" si="3"/>
        <v>46233</v>
      </c>
      <c r="N10" s="10">
        <f t="shared" si="3"/>
        <v>46234</v>
      </c>
      <c r="O10" s="10">
        <f t="shared" si="3"/>
        <v>46235</v>
      </c>
      <c r="P10" s="10">
        <f t="shared" si="3"/>
        <v>46236</v>
      </c>
      <c r="Q10" s="10">
        <f t="shared" si="3"/>
        <v>46237</v>
      </c>
      <c r="R10" s="10">
        <f>IFERROR(IF(Q10+1&gt;$Z$3,"",Q10+1),"")</f>
        <v>46238</v>
      </c>
      <c r="S10" s="10">
        <f t="shared" si="3"/>
        <v>46239</v>
      </c>
      <c r="T10" s="10">
        <f t="shared" si="3"/>
        <v>46240</v>
      </c>
      <c r="U10" s="10">
        <f t="shared" si="3"/>
        <v>46241</v>
      </c>
      <c r="V10" s="10">
        <f t="shared" si="3"/>
        <v>46242</v>
      </c>
      <c r="W10" s="10">
        <f t="shared" si="3"/>
        <v>46243</v>
      </c>
      <c r="X10" s="10">
        <f t="shared" si="3"/>
        <v>46244</v>
      </c>
      <c r="Y10" s="10">
        <f t="shared" si="3"/>
        <v>46245</v>
      </c>
      <c r="Z10" s="10">
        <f t="shared" si="3"/>
        <v>46246</v>
      </c>
      <c r="AA10" s="10">
        <f t="shared" si="3"/>
        <v>46247</v>
      </c>
      <c r="AB10" s="10">
        <f t="shared" si="3"/>
        <v>46248</v>
      </c>
      <c r="AC10" s="10">
        <f t="shared" si="3"/>
        <v>46249</v>
      </c>
      <c r="AD10" s="10">
        <f t="shared" si="3"/>
        <v>46250</v>
      </c>
      <c r="AE10" s="10">
        <f t="shared" ref="AE10" si="4">IFERROR(IF(AD10+1&gt;$Z$3,"",AD10+1),"")</f>
        <v>46251</v>
      </c>
      <c r="AF10" s="10">
        <f t="shared" ref="AF10" si="5">IFERROR(IF(AE10+1&gt;$Z$3,"",AE10+1),"")</f>
        <v>46252</v>
      </c>
      <c r="AG10" s="10">
        <f t="shared" ref="AG10" si="6">IFERROR(IF(AF10+1&gt;$Z$3,"",AF10+1),"")</f>
        <v>46253</v>
      </c>
      <c r="AH10" s="10">
        <f t="shared" ref="AH10" si="7">IFERROR(IF(AG10+1&gt;$Z$3,"",AG10+1),"")</f>
        <v>46254</v>
      </c>
      <c r="AI10" s="10">
        <f t="shared" ref="AI10" si="8">IFERROR(IF(AH10+1&gt;$Z$3,"",AH10+1),"")</f>
        <v>46255</v>
      </c>
      <c r="AJ10" s="10">
        <f t="shared" si="3"/>
        <v>46256</v>
      </c>
      <c r="AK10" s="10">
        <f t="shared" si="3"/>
        <v>46257</v>
      </c>
      <c r="AL10" s="10">
        <f t="shared" si="3"/>
        <v>46258</v>
      </c>
      <c r="AM10" s="10">
        <f t="shared" si="3"/>
        <v>46259</v>
      </c>
      <c r="AN10" s="10">
        <f t="shared" si="3"/>
        <v>46260</v>
      </c>
      <c r="AO10" s="10">
        <f t="shared" si="3"/>
        <v>46261</v>
      </c>
      <c r="AP10" s="10">
        <f t="shared" si="3"/>
        <v>46262</v>
      </c>
      <c r="AQ10" s="10">
        <f t="shared" si="3"/>
        <v>46263</v>
      </c>
      <c r="AR10" s="10">
        <f t="shared" si="3"/>
        <v>46264</v>
      </c>
      <c r="AS10" s="10">
        <f t="shared" si="3"/>
        <v>46265</v>
      </c>
      <c r="AT10" s="10">
        <f t="shared" si="3"/>
        <v>46266</v>
      </c>
      <c r="AU10" s="10">
        <f t="shared" si="3"/>
        <v>46267</v>
      </c>
      <c r="AV10" s="10">
        <f t="shared" si="3"/>
        <v>46268</v>
      </c>
      <c r="AW10" s="10">
        <f t="shared" ref="AW10" si="9">IFERROR(IF(AV10+1&gt;$Z$3,"",AV10+1),"")</f>
        <v>46269</v>
      </c>
      <c r="AX10" s="10">
        <f t="shared" ref="AX10" si="10">IFERROR(IF(AW10+1&gt;$Z$3,"",AW10+1),"")</f>
        <v>46270</v>
      </c>
      <c r="AY10" s="10">
        <f t="shared" ref="AY10" si="11">IFERROR(IF(AX10+1&gt;$Z$3,"",AX10+1),"")</f>
        <v>46271</v>
      </c>
      <c r="AZ10" s="10">
        <f t="shared" ref="AZ10" si="12">IFERROR(IF(AY10+1&gt;$Z$3,"",AY10+1),"")</f>
        <v>46272</v>
      </c>
      <c r="BA10" s="10">
        <f t="shared" ref="BA10" si="13">IFERROR(IF(AZ10+1&gt;$Z$3,"",AZ10+1),"")</f>
        <v>46273</v>
      </c>
      <c r="BB10" s="10">
        <f t="shared" ref="BB10" si="14">IFERROR(IF(BA10+1&gt;$Z$3,"",BA10+1),"")</f>
        <v>46274</v>
      </c>
      <c r="BC10" s="10">
        <f t="shared" ref="BC10" si="15">IFERROR(IF(BB10+1&gt;$Z$3,"",BB10+1),"")</f>
        <v>46275</v>
      </c>
      <c r="BD10" s="10">
        <f t="shared" ref="BD10" si="16">IFERROR(IF(BC10+1&gt;$Z$3,"",BC10+1),"")</f>
        <v>46276</v>
      </c>
      <c r="BE10" s="10">
        <f t="shared" ref="BE10" si="17">IFERROR(IF(BD10+1&gt;$Z$3,"",BD10+1),"")</f>
        <v>46277</v>
      </c>
      <c r="BF10" s="10">
        <f t="shared" ref="BF10" si="18">IFERROR(IF(BE10+1&gt;$Z$3,"",BE10+1),"")</f>
        <v>46278</v>
      </c>
      <c r="BG10" s="10">
        <f t="shared" ref="BG10" si="19">IFERROR(IF(BF10+1&gt;$Z$3,"",BF10+1),"")</f>
        <v>46279</v>
      </c>
      <c r="BH10" s="10">
        <f t="shared" ref="BH10" si="20">IFERROR(IF(BG10+1&gt;$Z$3,"",BG10+1),"")</f>
        <v>46280</v>
      </c>
      <c r="BI10" s="10">
        <f t="shared" ref="BI10" si="21">IFERROR(IF(BH10+1&gt;$Z$3,"",BH10+1),"")</f>
        <v>46281</v>
      </c>
      <c r="BJ10" s="10">
        <f t="shared" ref="BJ10" si="22">IFERROR(IF(BI10+1&gt;$Z$3,"",BI10+1),"")</f>
        <v>46282</v>
      </c>
      <c r="BK10" s="10">
        <f t="shared" ref="BK10" si="23">IFERROR(IF(BJ10+1&gt;$Z$3,"",BJ10+1),"")</f>
        <v>46283</v>
      </c>
      <c r="BL10" s="10">
        <f t="shared" ref="BL10" si="24">IFERROR(IF(BK10+1&gt;$Z$3,"",BK10+1),"")</f>
        <v>46284</v>
      </c>
      <c r="BM10" s="10">
        <f t="shared" ref="BM10" si="25">IFERROR(IF(BL10+1&gt;$Z$3,"",BL10+1),"")</f>
        <v>46285</v>
      </c>
      <c r="BN10" s="10">
        <f t="shared" ref="BN10" si="26">IFERROR(IF(BM10+1&gt;$Z$3,"",BM10+1),"")</f>
        <v>46286</v>
      </c>
      <c r="BO10" s="10">
        <f t="shared" ref="BO10" si="27">IFERROR(IF(BN10+1&gt;$Z$3,"",BN10+1),"")</f>
        <v>46287</v>
      </c>
      <c r="BP10" s="10">
        <f t="shared" ref="BP10" si="28">IFERROR(IF(BO10+1&gt;$Z$3,"",BO10+1),"")</f>
        <v>46288</v>
      </c>
      <c r="BQ10" s="10">
        <f t="shared" ref="BQ10" si="29">IFERROR(IF(BP10+1&gt;$Z$3,"",BP10+1),"")</f>
        <v>46289</v>
      </c>
      <c r="BR10" s="10">
        <f t="shared" ref="BR10" si="30">IFERROR(IF(BQ10+1&gt;$Z$3,"",BQ10+1),"")</f>
        <v>46290</v>
      </c>
      <c r="BS10" s="10">
        <f t="shared" ref="BS10" si="31">IFERROR(IF(BR10+1&gt;$Z$3,"",BR10+1),"")</f>
        <v>46291</v>
      </c>
      <c r="BT10" s="10">
        <f t="shared" ref="BT10" si="32">IFERROR(IF(BS10+1&gt;$Z$3,"",BS10+1),"")</f>
        <v>46292</v>
      </c>
      <c r="BU10" s="10">
        <f t="shared" ref="BU10" si="33">IFERROR(IF(BT10+1&gt;$Z$3,"",BT10+1),"")</f>
        <v>46293</v>
      </c>
      <c r="BV10" s="10">
        <f t="shared" ref="BV10" si="34">IFERROR(IF(BU10+1&gt;$Z$3,"",BU10+1),"")</f>
        <v>46294</v>
      </c>
      <c r="BW10" s="10">
        <f t="shared" ref="BW10" si="35">IFERROR(IF(BV10+1&gt;$Z$3,"",BV10+1),"")</f>
        <v>46295</v>
      </c>
      <c r="BX10" s="10">
        <f t="shared" ref="BX10" si="36">IFERROR(IF(BW10+1&gt;$Z$3,"",BW10+1),"")</f>
        <v>46296</v>
      </c>
      <c r="BY10" s="10">
        <f t="shared" ref="BY10" si="37">IFERROR(IF(BX10+1&gt;$Z$3,"",BX10+1),"")</f>
        <v>46297</v>
      </c>
      <c r="BZ10" s="10">
        <f t="shared" ref="BZ10" si="38">IFERROR(IF(BY10+1&gt;$Z$3,"",BY10+1),"")</f>
        <v>46298</v>
      </c>
      <c r="CA10" s="10">
        <f t="shared" ref="CA10" si="39">IFERROR(IF(BZ10+1&gt;$Z$3,"",BZ10+1),"")</f>
        <v>46299</v>
      </c>
      <c r="CB10" s="10">
        <f t="shared" ref="CB10" si="40">IFERROR(IF(CA10+1&gt;$Z$3,"",CA10+1),"")</f>
        <v>46300</v>
      </c>
      <c r="CC10" s="10">
        <f t="shared" ref="CC10" si="41">IFERROR(IF(CB10+1&gt;$Z$3,"",CB10+1),"")</f>
        <v>46301</v>
      </c>
      <c r="CD10" s="10">
        <f t="shared" ref="CD10" si="42">IFERROR(IF(CC10+1&gt;$Z$3,"",CC10+1),"")</f>
        <v>46302</v>
      </c>
      <c r="CE10" s="10">
        <f t="shared" ref="CE10" si="43">IFERROR(IF(CD10+1&gt;$Z$3,"",CD10+1),"")</f>
        <v>46303</v>
      </c>
      <c r="CF10" s="10">
        <f t="shared" ref="CF10" si="44">IFERROR(IF(CE10+1&gt;$Z$3,"",CE10+1),"")</f>
        <v>46304</v>
      </c>
      <c r="CG10" s="10">
        <f t="shared" ref="CG10" si="45">IFERROR(IF(CF10+1&gt;$Z$3,"",CF10+1),"")</f>
        <v>46305</v>
      </c>
      <c r="CH10" s="10">
        <f t="shared" ref="CH10" si="46">IFERROR(IF(CG10+1&gt;$Z$3,"",CG10+1),"")</f>
        <v>46306</v>
      </c>
      <c r="CI10" s="10">
        <f t="shared" ref="CI10" si="47">IFERROR(IF(CH10+1&gt;$Z$3,"",CH10+1),"")</f>
        <v>46307</v>
      </c>
      <c r="CJ10" s="10">
        <f t="shared" ref="CJ10" si="48">IFERROR(IF(CI10+1&gt;$Z$3,"",CI10+1),"")</f>
        <v>46308</v>
      </c>
      <c r="CK10" s="10">
        <f t="shared" ref="CK10" si="49">IFERROR(IF(CJ10+1&gt;$Z$3,"",CJ10+1),"")</f>
        <v>46309</v>
      </c>
      <c r="CL10" s="10">
        <f t="shared" ref="CL10" si="50">IFERROR(IF(CK10+1&gt;$Z$3,"",CK10+1),"")</f>
        <v>46310</v>
      </c>
      <c r="CM10" s="10">
        <f t="shared" ref="CM10" si="51">IFERROR(IF(CL10+1&gt;$Z$3,"",CL10+1),"")</f>
        <v>46311</v>
      </c>
      <c r="CN10" s="10">
        <f t="shared" ref="CN10" si="52">IFERROR(IF(CM10+1&gt;$Z$3,"",CM10+1),"")</f>
        <v>46312</v>
      </c>
      <c r="CO10" s="10">
        <f t="shared" ref="CO10" si="53">IFERROR(IF(CN10+1&gt;$Z$3,"",CN10+1),"")</f>
        <v>46313</v>
      </c>
      <c r="CP10" s="10">
        <f t="shared" ref="CP10" si="54">IFERROR(IF(CO10+1&gt;$Z$3,"",CO10+1),"")</f>
        <v>46314</v>
      </c>
      <c r="CQ10" s="10">
        <f t="shared" ref="CQ10" si="55">IFERROR(IF(CP10+1&gt;$Z$3,"",CP10+1),"")</f>
        <v>46315</v>
      </c>
      <c r="CR10" s="10">
        <f t="shared" ref="CR10" si="56">IFERROR(IF(CQ10+1&gt;$Z$3,"",CQ10+1),"")</f>
        <v>46316</v>
      </c>
      <c r="CS10" s="10">
        <f t="shared" ref="CS10" si="57">IFERROR(IF(CR10+1&gt;$Z$3,"",CR10+1),"")</f>
        <v>46317</v>
      </c>
      <c r="CT10" s="10">
        <f t="shared" ref="CT10" si="58">IFERROR(IF(CS10+1&gt;$Z$3,"",CS10+1),"")</f>
        <v>46318</v>
      </c>
      <c r="CU10" s="10">
        <f t="shared" ref="CU10" si="59">IFERROR(IF(CT10+1&gt;$Z$3,"",CT10+1),"")</f>
        <v>46319</v>
      </c>
      <c r="CV10" s="10">
        <f t="shared" ref="CV10" si="60">IFERROR(IF(CU10+1&gt;$Z$3,"",CU10+1),"")</f>
        <v>46320</v>
      </c>
      <c r="CW10" s="10">
        <f t="shared" ref="CW10" si="61">IFERROR(IF(CV10+1&gt;$Z$3,"",CV10+1),"")</f>
        <v>46321</v>
      </c>
      <c r="CX10" s="10">
        <f t="shared" ref="CX10" si="62">IFERROR(IF(CW10+1&gt;$Z$3,"",CW10+1),"")</f>
        <v>46322</v>
      </c>
      <c r="CY10" s="10">
        <f t="shared" ref="CY10" si="63">IFERROR(IF(CX10+1&gt;$Z$3,"",CX10+1),"")</f>
        <v>46323</v>
      </c>
      <c r="CZ10" s="10">
        <f t="shared" ref="CZ10" si="64">IFERROR(IF(CY10+1&gt;$Z$3,"",CY10+1),"")</f>
        <v>46324</v>
      </c>
      <c r="DA10" s="10">
        <f t="shared" ref="DA10" si="65">IFERROR(IF(CZ10+1&gt;$Z$3,"",CZ10+1),"")</f>
        <v>46325</v>
      </c>
      <c r="DB10" s="10">
        <f t="shared" ref="DB10" si="66">IFERROR(IF(DA10+1&gt;$Z$3,"",DA10+1),"")</f>
        <v>46326</v>
      </c>
      <c r="DC10" s="10">
        <f t="shared" ref="DC10" si="67">IFERROR(IF(DB10+1&gt;$Z$3,"",DB10+1),"")</f>
        <v>46327</v>
      </c>
      <c r="DD10" s="10">
        <f t="shared" ref="DD10" si="68">IFERROR(IF(DC10+1&gt;$Z$3,"",DC10+1),"")</f>
        <v>46328</v>
      </c>
      <c r="DE10" s="10">
        <f t="shared" ref="DE10" si="69">IFERROR(IF(DD10+1&gt;$Z$3,"",DD10+1),"")</f>
        <v>46329</v>
      </c>
      <c r="DF10" s="10">
        <f t="shared" ref="DF10" si="70">IFERROR(IF(DE10+1&gt;$Z$3,"",DE10+1),"")</f>
        <v>46330</v>
      </c>
      <c r="DG10" s="10">
        <f t="shared" ref="DG10" si="71">IFERROR(IF(DF10+1&gt;$Z$3,"",DF10+1),"")</f>
        <v>46331</v>
      </c>
      <c r="DH10" s="10">
        <f t="shared" ref="DH10" si="72">IFERROR(IF(DG10+1&gt;$Z$3,"",DG10+1),"")</f>
        <v>46332</v>
      </c>
      <c r="DI10" s="10">
        <f t="shared" ref="DI10" si="73">IFERROR(IF(DH10+1&gt;$Z$3,"",DH10+1),"")</f>
        <v>46333</v>
      </c>
      <c r="DJ10" s="10">
        <f t="shared" ref="DJ10" si="74">IFERROR(IF(DI10+1&gt;$Z$3,"",DI10+1),"")</f>
        <v>46334</v>
      </c>
      <c r="DK10" s="10">
        <f t="shared" ref="DK10" si="75">IFERROR(IF(DJ10+1&gt;$Z$3,"",DJ10+1),"")</f>
        <v>46335</v>
      </c>
      <c r="DL10" s="10">
        <f t="shared" ref="DL10" si="76">IFERROR(IF(DK10+1&gt;$Z$3,"",DK10+1),"")</f>
        <v>46336</v>
      </c>
      <c r="DM10" s="10">
        <f t="shared" ref="DM10" si="77">IFERROR(IF(DL10+1&gt;$Z$3,"",DL10+1),"")</f>
        <v>46337</v>
      </c>
      <c r="DN10" s="10">
        <f t="shared" ref="DN10" si="78">IFERROR(IF(DM10+1&gt;$Z$3,"",DM10+1),"")</f>
        <v>46338</v>
      </c>
      <c r="DO10" s="10">
        <f t="shared" ref="DO10" si="79">IFERROR(IF(DN10+1&gt;$Z$3,"",DN10+1),"")</f>
        <v>46339</v>
      </c>
      <c r="DP10" s="10">
        <f t="shared" ref="DP10" si="80">IFERROR(IF(DO10+1&gt;$Z$3,"",DO10+1),"")</f>
        <v>46340</v>
      </c>
      <c r="DQ10" s="10">
        <f t="shared" ref="DQ10" si="81">IFERROR(IF(DP10+1&gt;$Z$3,"",DP10+1),"")</f>
        <v>46341</v>
      </c>
      <c r="DR10" s="10">
        <f t="shared" ref="DR10" si="82">IFERROR(IF(DQ10+1&gt;$Z$3,"",DQ10+1),"")</f>
        <v>46342</v>
      </c>
      <c r="DS10" s="10">
        <f t="shared" ref="DS10" si="83">IFERROR(IF(DR10+1&gt;$Z$3,"",DR10+1),"")</f>
        <v>46343</v>
      </c>
      <c r="DT10" s="10">
        <f t="shared" ref="DT10" si="84">IFERROR(IF(DS10+1&gt;$Z$3,"",DS10+1),"")</f>
        <v>46344</v>
      </c>
      <c r="DU10" s="10">
        <f t="shared" ref="DU10" si="85">IFERROR(IF(DT10+1&gt;$Z$3,"",DT10+1),"")</f>
        <v>46345</v>
      </c>
      <c r="DV10" s="10">
        <f t="shared" ref="DV10" si="86">IFERROR(IF(DU10+1&gt;$Z$3,"",DU10+1),"")</f>
        <v>46346</v>
      </c>
      <c r="DW10" s="10">
        <f t="shared" ref="DW10" si="87">IFERROR(IF(DV10+1&gt;$Z$3,"",DV10+1),"")</f>
        <v>46347</v>
      </c>
      <c r="DX10" s="10">
        <f t="shared" ref="DX10" si="88">IFERROR(IF(DW10+1&gt;$Z$3,"",DW10+1),"")</f>
        <v>46348</v>
      </c>
      <c r="DY10" s="10">
        <f t="shared" ref="DY10" si="89">IFERROR(IF(DX10+1&gt;$Z$3,"",DX10+1),"")</f>
        <v>46349</v>
      </c>
      <c r="DZ10" s="10">
        <f t="shared" ref="DZ10" si="90">IFERROR(IF(DY10+1&gt;$Z$3,"",DY10+1),"")</f>
        <v>46350</v>
      </c>
      <c r="EA10" s="10">
        <f t="shared" ref="EA10" si="91">IFERROR(IF(DZ10+1&gt;$Z$3,"",DZ10+1),"")</f>
        <v>46351</v>
      </c>
      <c r="EB10" s="10">
        <f t="shared" ref="EB10" si="92">IFERROR(IF(EA10+1&gt;$Z$3,"",EA10+1),"")</f>
        <v>46352</v>
      </c>
      <c r="EC10" s="10">
        <f t="shared" ref="EC10" si="93">IFERROR(IF(EB10+1&gt;$Z$3,"",EB10+1),"")</f>
        <v>46353</v>
      </c>
      <c r="ED10" s="10">
        <f t="shared" ref="ED10" si="94">IFERROR(IF(EC10+1&gt;$Z$3,"",EC10+1),"")</f>
        <v>46354</v>
      </c>
      <c r="EE10" s="10">
        <f t="shared" ref="EE10" si="95">IFERROR(IF(ED10+1&gt;$Z$3,"",ED10+1),"")</f>
        <v>46355</v>
      </c>
      <c r="EF10" s="10">
        <f t="shared" ref="EF10" si="96">IFERROR(IF(EE10+1&gt;$Z$3,"",EE10+1),"")</f>
        <v>46356</v>
      </c>
      <c r="EG10" s="10">
        <f t="shared" ref="EG10" si="97">IFERROR(IF(EF10+1&gt;$Z$3,"",EF10+1),"")</f>
        <v>46357</v>
      </c>
      <c r="EH10" s="10">
        <f t="shared" ref="EH10" si="98">IFERROR(IF(EG10+1&gt;$Z$3,"",EG10+1),"")</f>
        <v>46358</v>
      </c>
      <c r="EI10" s="10">
        <f t="shared" ref="EI10" si="99">IFERROR(IF(EH10+1&gt;$Z$3,"",EH10+1),"")</f>
        <v>46359</v>
      </c>
      <c r="EJ10" s="10">
        <f t="shared" ref="EJ10" si="100">IFERROR(IF(EI10+1&gt;$Z$3,"",EI10+1),"")</f>
        <v>46360</v>
      </c>
      <c r="EK10" s="10">
        <f t="shared" ref="EK10" si="101">IFERROR(IF(EJ10+1&gt;$Z$3,"",EJ10+1),"")</f>
        <v>46361</v>
      </c>
      <c r="EL10" s="10">
        <f t="shared" ref="EL10" si="102">IFERROR(IF(EK10+1&gt;$Z$3,"",EK10+1),"")</f>
        <v>46362</v>
      </c>
      <c r="EM10" s="10">
        <f t="shared" ref="EM10" si="103">IFERROR(IF(EL10+1&gt;$Z$3,"",EL10+1),"")</f>
        <v>46363</v>
      </c>
      <c r="EN10" s="10">
        <f t="shared" ref="EN10" si="104">IFERROR(IF(EM10+1&gt;$Z$3,"",EM10+1),"")</f>
        <v>46364</v>
      </c>
      <c r="EO10" s="10">
        <f t="shared" ref="EO10" si="105">IFERROR(IF(EN10+1&gt;$Z$3,"",EN10+1),"")</f>
        <v>46365</v>
      </c>
      <c r="EP10" s="10">
        <f t="shared" ref="EP10" si="106">IFERROR(IF(EO10+1&gt;$Z$3,"",EO10+1),"")</f>
        <v>46366</v>
      </c>
      <c r="EQ10" s="10">
        <f t="shared" ref="EQ10" si="107">IFERROR(IF(EP10+1&gt;$Z$3,"",EP10+1),"")</f>
        <v>46367</v>
      </c>
      <c r="ER10" s="10">
        <f t="shared" ref="ER10" si="108">IFERROR(IF(EQ10+1&gt;$Z$3,"",EQ10+1),"")</f>
        <v>46368</v>
      </c>
      <c r="ES10" s="10">
        <f t="shared" ref="ES10" si="109">IFERROR(IF(ER10+1&gt;$Z$3,"",ER10+1),"")</f>
        <v>46369</v>
      </c>
      <c r="ET10" s="10">
        <f t="shared" ref="ET10" si="110">IFERROR(IF(ES10+1&gt;$Z$3,"",ES10+1),"")</f>
        <v>46370</v>
      </c>
      <c r="EU10" s="10">
        <f t="shared" ref="EU10" si="111">IFERROR(IF(ET10+1&gt;$Z$3,"",ET10+1),"")</f>
        <v>46371</v>
      </c>
      <c r="EV10" s="10">
        <f t="shared" ref="EV10" si="112">IFERROR(IF(EU10+1&gt;$Z$3,"",EU10+1),"")</f>
        <v>46372</v>
      </c>
      <c r="EW10" s="10">
        <f t="shared" ref="EW10" si="113">IFERROR(IF(EV10+1&gt;$Z$3,"",EV10+1),"")</f>
        <v>46373</v>
      </c>
      <c r="EX10" s="10">
        <f t="shared" ref="EX10" si="114">IFERROR(IF(EW10+1&gt;$Z$3,"",EW10+1),"")</f>
        <v>46374</v>
      </c>
      <c r="EY10" s="10">
        <f t="shared" ref="EY10" si="115">IFERROR(IF(EX10+1&gt;$Z$3,"",EX10+1),"")</f>
        <v>46375</v>
      </c>
      <c r="EZ10" s="10">
        <f t="shared" ref="EZ10" si="116">IFERROR(IF(EY10+1&gt;$Z$3,"",EY10+1),"")</f>
        <v>46376</v>
      </c>
      <c r="FA10" s="10">
        <f t="shared" ref="FA10" si="117">IFERROR(IF(EZ10+1&gt;$Z$3,"",EZ10+1),"")</f>
        <v>46377</v>
      </c>
      <c r="FB10" s="10">
        <f t="shared" ref="FB10" si="118">IFERROR(IF(FA10+1&gt;$Z$3,"",FA10+1),"")</f>
        <v>46378</v>
      </c>
      <c r="FC10" s="10">
        <f t="shared" ref="FC10" si="119">IFERROR(IF(FB10+1&gt;$Z$3,"",FB10+1),"")</f>
        <v>46379</v>
      </c>
      <c r="FD10" s="10">
        <f t="shared" ref="FD10" si="120">IFERROR(IF(FC10+1&gt;$Z$3,"",FC10+1),"")</f>
        <v>46380</v>
      </c>
      <c r="FE10" s="10">
        <f t="shared" ref="FE10" si="121">IFERROR(IF(FD10+1&gt;$Z$3,"",FD10+1),"")</f>
        <v>46381</v>
      </c>
      <c r="FF10" s="10">
        <f t="shared" ref="FF10" si="122">IFERROR(IF(FE10+1&gt;$Z$3,"",FE10+1),"")</f>
        <v>46382</v>
      </c>
      <c r="FG10" s="10">
        <f t="shared" ref="FG10" si="123">IFERROR(IF(FF10+1&gt;$Z$3,"",FF10+1),"")</f>
        <v>46383</v>
      </c>
      <c r="FH10" s="10">
        <f t="shared" ref="FH10" si="124">IFERROR(IF(FG10+1&gt;$Z$3,"",FG10+1),"")</f>
        <v>46384</v>
      </c>
      <c r="FI10" s="10">
        <f t="shared" ref="FI10" si="125">IFERROR(IF(FH10+1&gt;$Z$3,"",FH10+1),"")</f>
        <v>46385</v>
      </c>
      <c r="FJ10" s="10">
        <f t="shared" ref="FJ10" si="126">IFERROR(IF(FI10+1&gt;$Z$3,"",FI10+1),"")</f>
        <v>46386</v>
      </c>
      <c r="FK10" s="10">
        <f t="shared" ref="FK10" si="127">IFERROR(IF(FJ10+1&gt;$Z$3,"",FJ10+1),"")</f>
        <v>46387</v>
      </c>
      <c r="FL10" s="10" t="str">
        <f t="shared" ref="FL10" si="128">IFERROR(IF(FK10+1&gt;$Z$3,"",FK10+1),"")</f>
        <v/>
      </c>
      <c r="FM10" s="10" t="str">
        <f t="shared" ref="FM10" si="129">IFERROR(IF(FL10+1&gt;$Z$3,"",FL10+1),"")</f>
        <v/>
      </c>
      <c r="FN10" s="10" t="str">
        <f t="shared" ref="FN10" si="130">IFERROR(IF(FM10+1&gt;$Z$3,"",FM10+1),"")</f>
        <v/>
      </c>
      <c r="FO10" s="10" t="str">
        <f t="shared" ref="FO10" si="131">IFERROR(IF(FN10+1&gt;$Z$3,"",FN10+1),"")</f>
        <v/>
      </c>
      <c r="FP10" s="10" t="str">
        <f t="shared" ref="FP10" si="132">IFERROR(IF(FO10+1&gt;$Z$3,"",FO10+1),"")</f>
        <v/>
      </c>
      <c r="FQ10" s="10" t="str">
        <f t="shared" ref="FQ10" si="133">IFERROR(IF(FP10+1&gt;$Z$3,"",FP10+1),"")</f>
        <v/>
      </c>
      <c r="FR10" s="10" t="str">
        <f t="shared" ref="FR10" si="134">IFERROR(IF(FQ10+1&gt;$Z$3,"",FQ10+1),"")</f>
        <v/>
      </c>
      <c r="FS10" s="10" t="str">
        <f t="shared" ref="FS10" si="135">IFERROR(IF(FR10+1&gt;$Z$3,"",FR10+1),"")</f>
        <v/>
      </c>
      <c r="FT10" s="10" t="str">
        <f t="shared" ref="FT10" si="136">IFERROR(IF(FS10+1&gt;$Z$3,"",FS10+1),"")</f>
        <v/>
      </c>
      <c r="FU10" s="10" t="str">
        <f t="shared" ref="FU10" si="137">IFERROR(IF(FT10+1&gt;$Z$3,"",FT10+1),"")</f>
        <v/>
      </c>
      <c r="FV10" s="10" t="str">
        <f t="shared" ref="FV10" si="138">IFERROR(IF(FU10+1&gt;$Z$3,"",FU10+1),"")</f>
        <v/>
      </c>
      <c r="FW10" s="10" t="str">
        <f t="shared" ref="FW10" si="139">IFERROR(IF(FV10+1&gt;$Z$3,"",FV10+1),"")</f>
        <v/>
      </c>
      <c r="FX10" s="10" t="str">
        <f t="shared" ref="FX10" si="140">IFERROR(IF(FW10+1&gt;$Z$3,"",FW10+1),"")</f>
        <v/>
      </c>
    </row>
    <row r="11" spans="1:180">
      <c r="A11" s="21">
        <v>1</v>
      </c>
      <c r="B11" s="22" t="s">
        <v>22</v>
      </c>
      <c r="C11" s="6" t="s">
        <v>23</v>
      </c>
      <c r="D11" s="6" t="s">
        <v>24</v>
      </c>
      <c r="E11" s="6" t="s">
        <v>24</v>
      </c>
      <c r="F11" s="6" t="s">
        <v>25</v>
      </c>
      <c r="G11" s="6" t="s">
        <v>25</v>
      </c>
      <c r="H11" s="6" t="s">
        <v>25</v>
      </c>
      <c r="I11" s="6"/>
      <c r="J11" s="6" t="s">
        <v>23</v>
      </c>
      <c r="K11" s="6" t="s">
        <v>24</v>
      </c>
      <c r="L11" s="6" t="s">
        <v>23</v>
      </c>
      <c r="M11" s="6" t="s">
        <v>25</v>
      </c>
      <c r="N11" s="6" t="s">
        <v>25</v>
      </c>
      <c r="O11" s="6" t="s">
        <v>25</v>
      </c>
      <c r="P11" s="6"/>
      <c r="Q11" s="6" t="s">
        <v>24</v>
      </c>
      <c r="R11" s="6" t="s">
        <v>24</v>
      </c>
      <c r="S11" s="6" t="s">
        <v>24</v>
      </c>
      <c r="T11" s="6" t="s">
        <v>25</v>
      </c>
      <c r="U11" s="6" t="s">
        <v>25</v>
      </c>
      <c r="V11" s="6" t="s">
        <v>25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</row>
    <row r="12" spans="1:180">
      <c r="A12" s="21">
        <f>A11+1</f>
        <v>2</v>
      </c>
      <c r="B12" s="22" t="s">
        <v>26</v>
      </c>
      <c r="C12" s="6" t="s">
        <v>24</v>
      </c>
      <c r="D12" s="6" t="s">
        <v>24</v>
      </c>
      <c r="E12" s="6" t="s">
        <v>24</v>
      </c>
      <c r="F12" s="6"/>
      <c r="G12" s="6"/>
      <c r="H12" s="6"/>
      <c r="I12" s="6"/>
      <c r="J12" s="6" t="s">
        <v>24</v>
      </c>
      <c r="K12" s="6" t="s">
        <v>24</v>
      </c>
      <c r="L12" s="6" t="s">
        <v>24</v>
      </c>
      <c r="M12" s="6"/>
      <c r="N12" s="6"/>
      <c r="O12" s="6"/>
      <c r="P12" s="6"/>
      <c r="Q12" s="6" t="s">
        <v>24</v>
      </c>
      <c r="R12" s="6" t="s">
        <v>24</v>
      </c>
      <c r="S12" s="6" t="s">
        <v>24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</row>
    <row r="13" spans="1:180">
      <c r="A13" s="21">
        <f>A12+1</f>
        <v>3</v>
      </c>
      <c r="B13" s="22" t="s">
        <v>27</v>
      </c>
      <c r="C13" s="6" t="s">
        <v>23</v>
      </c>
      <c r="D13" s="6" t="s">
        <v>23</v>
      </c>
      <c r="E13" s="6" t="s">
        <v>23</v>
      </c>
      <c r="F13" s="6"/>
      <c r="G13" s="6"/>
      <c r="H13" s="6"/>
      <c r="I13" s="6"/>
      <c r="J13" s="6" t="s">
        <v>24</v>
      </c>
      <c r="K13" s="6" t="s">
        <v>24</v>
      </c>
      <c r="L13" s="6" t="s">
        <v>24</v>
      </c>
      <c r="M13" s="6"/>
      <c r="N13" s="6"/>
      <c r="O13" s="6"/>
      <c r="P13" s="6"/>
      <c r="Q13" s="6" t="s">
        <v>24</v>
      </c>
      <c r="R13" s="6" t="s">
        <v>24</v>
      </c>
      <c r="S13" s="6" t="s">
        <v>24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</row>
    <row r="14" spans="1:180">
      <c r="A14" s="21">
        <f>A13+1</f>
        <v>4</v>
      </c>
      <c r="B14" s="22" t="s">
        <v>28</v>
      </c>
      <c r="C14" s="6" t="s">
        <v>23</v>
      </c>
      <c r="D14" s="6" t="s">
        <v>23</v>
      </c>
      <c r="E14" s="6" t="s">
        <v>23</v>
      </c>
      <c r="F14" s="6"/>
      <c r="G14" s="6"/>
      <c r="H14" s="6"/>
      <c r="I14" s="6"/>
      <c r="J14" s="6" t="s">
        <v>23</v>
      </c>
      <c r="K14" s="6" t="s">
        <v>23</v>
      </c>
      <c r="L14" s="6" t="s">
        <v>23</v>
      </c>
      <c r="M14" s="6"/>
      <c r="N14" s="6"/>
      <c r="O14" s="6"/>
      <c r="P14" s="6"/>
      <c r="Q14" s="6" t="s">
        <v>23</v>
      </c>
      <c r="R14" s="6" t="s">
        <v>23</v>
      </c>
      <c r="S14" s="6" t="s">
        <v>23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</row>
    <row r="15" spans="1:180">
      <c r="A15" s="21">
        <f t="shared" ref="A14:A55" si="141">A14+1</f>
        <v>5</v>
      </c>
      <c r="B15" s="22" t="s">
        <v>29</v>
      </c>
      <c r="C15" s="6" t="s">
        <v>23</v>
      </c>
      <c r="D15" s="6" t="s">
        <v>23</v>
      </c>
      <c r="E15" s="6" t="s">
        <v>23</v>
      </c>
      <c r="F15" s="6"/>
      <c r="G15" s="6"/>
      <c r="H15" s="6"/>
      <c r="I15" s="6"/>
      <c r="J15" s="6" t="s">
        <v>23</v>
      </c>
      <c r="K15" s="6" t="s">
        <v>23</v>
      </c>
      <c r="L15" s="6" t="s">
        <v>23</v>
      </c>
      <c r="M15" s="6"/>
      <c r="N15" s="6"/>
      <c r="O15" s="6"/>
      <c r="P15" s="6"/>
      <c r="Q15" s="6" t="s">
        <v>23</v>
      </c>
      <c r="R15" s="6" t="s">
        <v>23</v>
      </c>
      <c r="S15" s="6" t="s">
        <v>23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</row>
    <row r="16" spans="1:180">
      <c r="A16" s="21">
        <f t="shared" si="141"/>
        <v>6</v>
      </c>
      <c r="B16" s="22" t="s">
        <v>30</v>
      </c>
      <c r="C16" s="6" t="s">
        <v>24</v>
      </c>
      <c r="D16" s="6" t="s">
        <v>24</v>
      </c>
      <c r="E16" s="6" t="s">
        <v>24</v>
      </c>
      <c r="F16" s="6"/>
      <c r="G16" s="6"/>
      <c r="H16" s="6"/>
      <c r="I16" s="6"/>
      <c r="J16" s="6" t="s">
        <v>24</v>
      </c>
      <c r="K16" s="6" t="s">
        <v>24</v>
      </c>
      <c r="L16" s="6" t="s">
        <v>24</v>
      </c>
      <c r="M16" s="6"/>
      <c r="N16" s="6"/>
      <c r="O16" s="6"/>
      <c r="P16" s="6"/>
      <c r="Q16" s="6" t="s">
        <v>24</v>
      </c>
      <c r="R16" s="6" t="s">
        <v>24</v>
      </c>
      <c r="S16" s="6" t="s">
        <v>24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</row>
    <row r="17" spans="1:180">
      <c r="A17" s="21">
        <f t="shared" si="141"/>
        <v>7</v>
      </c>
      <c r="B17" s="22" t="s">
        <v>31</v>
      </c>
      <c r="C17" s="6" t="s">
        <v>23</v>
      </c>
      <c r="D17" s="6" t="s">
        <v>23</v>
      </c>
      <c r="E17" s="6" t="s">
        <v>23</v>
      </c>
      <c r="F17" s="6"/>
      <c r="G17" s="6"/>
      <c r="H17" s="6"/>
      <c r="I17" s="6"/>
      <c r="J17" s="6" t="s">
        <v>24</v>
      </c>
      <c r="K17" s="6" t="s">
        <v>24</v>
      </c>
      <c r="L17" s="6" t="s">
        <v>24</v>
      </c>
      <c r="M17" s="6"/>
      <c r="N17" s="6"/>
      <c r="O17" s="6"/>
      <c r="P17" s="6"/>
      <c r="Q17" s="6" t="s">
        <v>23</v>
      </c>
      <c r="R17" s="6" t="s">
        <v>24</v>
      </c>
      <c r="S17" s="6" t="s">
        <v>23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</row>
    <row r="18" spans="1:180">
      <c r="A18" s="21">
        <f t="shared" si="141"/>
        <v>8</v>
      </c>
      <c r="B18" s="22" t="s">
        <v>32</v>
      </c>
      <c r="C18" s="6" t="s">
        <v>23</v>
      </c>
      <c r="D18" s="6" t="s">
        <v>23</v>
      </c>
      <c r="E18" s="6" t="s">
        <v>23</v>
      </c>
      <c r="F18" s="6"/>
      <c r="G18" s="6"/>
      <c r="H18" s="6"/>
      <c r="I18" s="6"/>
      <c r="J18" s="6" t="s">
        <v>24</v>
      </c>
      <c r="K18" s="6" t="s">
        <v>24</v>
      </c>
      <c r="L18" s="6" t="s">
        <v>23</v>
      </c>
      <c r="M18" s="6"/>
      <c r="N18" s="6"/>
      <c r="O18" s="6"/>
      <c r="P18" s="6"/>
      <c r="Q18" s="6" t="s">
        <v>24</v>
      </c>
      <c r="R18" s="6" t="s">
        <v>24</v>
      </c>
      <c r="S18" s="6" t="s">
        <v>23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</row>
    <row r="19" spans="1:180">
      <c r="A19" s="21">
        <f t="shared" si="141"/>
        <v>9</v>
      </c>
      <c r="B19" s="22" t="s">
        <v>33</v>
      </c>
      <c r="C19" s="6" t="s">
        <v>24</v>
      </c>
      <c r="D19" s="6" t="s">
        <v>24</v>
      </c>
      <c r="E19" s="6" t="s">
        <v>24</v>
      </c>
      <c r="F19" s="6"/>
      <c r="G19" s="6"/>
      <c r="H19" s="6"/>
      <c r="I19" s="6"/>
      <c r="J19" s="6" t="s">
        <v>24</v>
      </c>
      <c r="K19" s="6" t="s">
        <v>24</v>
      </c>
      <c r="L19" s="6" t="s">
        <v>24</v>
      </c>
      <c r="M19" s="6"/>
      <c r="N19" s="6"/>
      <c r="O19" s="6"/>
      <c r="P19" s="6"/>
      <c r="Q19" s="6" t="s">
        <v>24</v>
      </c>
      <c r="R19" s="6" t="s">
        <v>24</v>
      </c>
      <c r="S19" s="6" t="s">
        <v>24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</row>
    <row r="20" spans="1:180">
      <c r="A20" s="21">
        <f t="shared" si="141"/>
        <v>10</v>
      </c>
      <c r="B20" s="22" t="s">
        <v>34</v>
      </c>
      <c r="C20" s="6" t="s">
        <v>24</v>
      </c>
      <c r="D20" s="6" t="s">
        <v>24</v>
      </c>
      <c r="E20" s="6" t="s">
        <v>24</v>
      </c>
      <c r="F20" s="6"/>
      <c r="G20" s="6"/>
      <c r="H20" s="6"/>
      <c r="I20" s="6"/>
      <c r="J20" s="6" t="s">
        <v>24</v>
      </c>
      <c r="K20" s="6" t="s">
        <v>24</v>
      </c>
      <c r="L20" s="6" t="s">
        <v>24</v>
      </c>
      <c r="M20" s="6"/>
      <c r="N20" s="6"/>
      <c r="O20" s="6"/>
      <c r="P20" s="6"/>
      <c r="Q20" s="6" t="s">
        <v>24</v>
      </c>
      <c r="R20" s="6" t="s">
        <v>24</v>
      </c>
      <c r="S20" s="6" t="s">
        <v>23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</row>
    <row r="21" spans="1:180">
      <c r="A21" s="21">
        <f t="shared" si="141"/>
        <v>11</v>
      </c>
      <c r="B21" s="22" t="s">
        <v>35</v>
      </c>
      <c r="C21" s="6" t="s">
        <v>23</v>
      </c>
      <c r="D21" s="6" t="s">
        <v>23</v>
      </c>
      <c r="E21" s="6" t="s">
        <v>23</v>
      </c>
      <c r="F21" s="6"/>
      <c r="G21" s="6"/>
      <c r="H21" s="6"/>
      <c r="I21" s="6"/>
      <c r="J21" s="6" t="s">
        <v>23</v>
      </c>
      <c r="K21" s="6" t="s">
        <v>23</v>
      </c>
      <c r="L21" s="6" t="s">
        <v>23</v>
      </c>
      <c r="M21" s="6"/>
      <c r="N21" s="6"/>
      <c r="O21" s="6"/>
      <c r="P21" s="6"/>
      <c r="Q21" s="6" t="s">
        <v>23</v>
      </c>
      <c r="R21" s="6" t="s">
        <v>23</v>
      </c>
      <c r="S21" s="6" t="s">
        <v>23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</row>
    <row r="22" spans="1:180">
      <c r="A22" s="21">
        <f t="shared" si="141"/>
        <v>12</v>
      </c>
      <c r="B22" s="22" t="s">
        <v>36</v>
      </c>
      <c r="C22" s="6" t="s">
        <v>24</v>
      </c>
      <c r="D22" s="6" t="s">
        <v>24</v>
      </c>
      <c r="E22" s="6" t="s">
        <v>24</v>
      </c>
      <c r="F22" s="6"/>
      <c r="G22" s="6"/>
      <c r="H22" s="6"/>
      <c r="I22" s="6"/>
      <c r="J22" s="6" t="s">
        <v>24</v>
      </c>
      <c r="K22" s="6" t="s">
        <v>23</v>
      </c>
      <c r="L22" s="6" t="s">
        <v>24</v>
      </c>
      <c r="M22" s="6"/>
      <c r="N22" s="6"/>
      <c r="O22" s="6"/>
      <c r="P22" s="6"/>
      <c r="Q22" s="6" t="s">
        <v>24</v>
      </c>
      <c r="R22" s="6" t="s">
        <v>24</v>
      </c>
      <c r="S22" s="6" t="s">
        <v>23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</row>
    <row r="23" spans="1:180">
      <c r="A23" s="21">
        <f t="shared" si="141"/>
        <v>13</v>
      </c>
      <c r="B23" s="22" t="s">
        <v>37</v>
      </c>
      <c r="C23" s="6" t="s">
        <v>24</v>
      </c>
      <c r="D23" s="6" t="s">
        <v>24</v>
      </c>
      <c r="E23" s="6" t="s">
        <v>24</v>
      </c>
      <c r="F23" s="6"/>
      <c r="G23" s="6"/>
      <c r="H23" s="6"/>
      <c r="I23" s="6"/>
      <c r="J23" s="6" t="s">
        <v>23</v>
      </c>
      <c r="K23" s="6" t="s">
        <v>24</v>
      </c>
      <c r="L23" s="6" t="s">
        <v>24</v>
      </c>
      <c r="M23" s="6"/>
      <c r="N23" s="6"/>
      <c r="O23" s="6"/>
      <c r="P23" s="6"/>
      <c r="Q23" s="6" t="s">
        <v>24</v>
      </c>
      <c r="R23" s="6" t="s">
        <v>24</v>
      </c>
      <c r="S23" s="6" t="s">
        <v>24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</row>
    <row r="24" spans="1:180">
      <c r="A24" s="21">
        <f t="shared" si="141"/>
        <v>14</v>
      </c>
      <c r="B24" s="22" t="s">
        <v>38</v>
      </c>
      <c r="C24" s="16" t="s">
        <v>23</v>
      </c>
      <c r="D24" s="6" t="s">
        <v>24</v>
      </c>
      <c r="E24" s="6" t="s">
        <v>24</v>
      </c>
      <c r="F24" s="6"/>
      <c r="G24" s="6"/>
      <c r="H24" s="6"/>
      <c r="I24" s="6"/>
      <c r="J24" s="6" t="s">
        <v>24</v>
      </c>
      <c r="K24" s="6" t="s">
        <v>24</v>
      </c>
      <c r="L24" s="6" t="s">
        <v>24</v>
      </c>
      <c r="M24" s="6"/>
      <c r="N24" s="6"/>
      <c r="O24" s="6"/>
      <c r="P24" s="6"/>
      <c r="Q24" s="6" t="s">
        <v>23</v>
      </c>
      <c r="R24" s="6" t="s">
        <v>23</v>
      </c>
      <c r="S24" s="6" t="s">
        <v>23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</row>
    <row r="25" spans="1:180">
      <c r="A25" s="21">
        <f t="shared" si="141"/>
        <v>15</v>
      </c>
      <c r="B25" s="22" t="s">
        <v>39</v>
      </c>
      <c r="C25" s="6" t="s">
        <v>24</v>
      </c>
      <c r="D25" s="6" t="s">
        <v>24</v>
      </c>
      <c r="E25" s="6" t="s">
        <v>24</v>
      </c>
      <c r="F25" s="6"/>
      <c r="G25" s="6"/>
      <c r="H25" s="6"/>
      <c r="I25" s="6"/>
      <c r="J25" s="6" t="s">
        <v>23</v>
      </c>
      <c r="K25" s="6" t="s">
        <v>23</v>
      </c>
      <c r="L25" s="6" t="s">
        <v>23</v>
      </c>
      <c r="M25" s="6"/>
      <c r="N25" s="6"/>
      <c r="O25" s="6"/>
      <c r="P25" s="6"/>
      <c r="Q25" s="6" t="s">
        <v>24</v>
      </c>
      <c r="R25" s="6" t="s">
        <v>24</v>
      </c>
      <c r="S25" s="6" t="s">
        <v>24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</row>
    <row r="26" spans="1:180">
      <c r="A26" s="21">
        <f t="shared" si="141"/>
        <v>16</v>
      </c>
      <c r="B26" s="22" t="s">
        <v>40</v>
      </c>
      <c r="C26" s="6" t="s">
        <v>24</v>
      </c>
      <c r="D26" s="6" t="s">
        <v>23</v>
      </c>
      <c r="E26" s="6" t="s">
        <v>24</v>
      </c>
      <c r="F26" s="6"/>
      <c r="G26" s="6"/>
      <c r="H26" s="6"/>
      <c r="I26" s="6"/>
      <c r="J26" s="6" t="s">
        <v>24</v>
      </c>
      <c r="K26" s="6" t="s">
        <v>23</v>
      </c>
      <c r="L26" s="6" t="s">
        <v>24</v>
      </c>
      <c r="M26" s="6"/>
      <c r="N26" s="6"/>
      <c r="O26" s="6"/>
      <c r="P26" s="6"/>
      <c r="Q26" s="6" t="s">
        <v>23</v>
      </c>
      <c r="R26" s="6" t="s">
        <v>23</v>
      </c>
      <c r="S26" s="6" t="s">
        <v>24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</row>
    <row r="27" spans="1:180">
      <c r="A27" s="21">
        <f t="shared" si="141"/>
        <v>17</v>
      </c>
      <c r="B27" s="22" t="s">
        <v>41</v>
      </c>
      <c r="C27" s="6" t="s">
        <v>23</v>
      </c>
      <c r="D27" s="6" t="s">
        <v>23</v>
      </c>
      <c r="E27" s="6" t="s">
        <v>24</v>
      </c>
      <c r="F27" s="6"/>
      <c r="G27" s="6"/>
      <c r="H27" s="6"/>
      <c r="I27" s="6"/>
      <c r="J27" s="6" t="s">
        <v>23</v>
      </c>
      <c r="K27" s="6" t="s">
        <v>23</v>
      </c>
      <c r="L27" s="6" t="s">
        <v>24</v>
      </c>
      <c r="M27" s="6"/>
      <c r="N27" s="6"/>
      <c r="O27" s="6"/>
      <c r="P27" s="6"/>
      <c r="Q27" s="6" t="s">
        <v>24</v>
      </c>
      <c r="R27" s="6" t="s">
        <v>23</v>
      </c>
      <c r="S27" s="6" t="s">
        <v>23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</row>
    <row r="28" spans="1:180">
      <c r="A28" s="21">
        <f t="shared" si="141"/>
        <v>18</v>
      </c>
      <c r="B28" s="22" t="s">
        <v>42</v>
      </c>
      <c r="C28" s="6" t="s">
        <v>23</v>
      </c>
      <c r="D28" s="6" t="s">
        <v>23</v>
      </c>
      <c r="E28" s="6" t="s">
        <v>23</v>
      </c>
      <c r="F28" s="6"/>
      <c r="G28" s="6"/>
      <c r="H28" s="6"/>
      <c r="I28" s="6"/>
      <c r="J28" s="6" t="s">
        <v>23</v>
      </c>
      <c r="K28" s="6" t="s">
        <v>24</v>
      </c>
      <c r="L28" s="6" t="s">
        <v>24</v>
      </c>
      <c r="M28" s="6"/>
      <c r="N28" s="6"/>
      <c r="O28" s="6"/>
      <c r="P28" s="6"/>
      <c r="Q28" s="6" t="s">
        <v>23</v>
      </c>
      <c r="R28" s="6" t="s">
        <v>23</v>
      </c>
      <c r="S28" s="6" t="s">
        <v>23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</row>
    <row r="29" spans="1:180">
      <c r="A29" s="21">
        <f t="shared" si="141"/>
        <v>19</v>
      </c>
      <c r="B29" s="22" t="s">
        <v>43</v>
      </c>
      <c r="C29" s="6" t="s">
        <v>24</v>
      </c>
      <c r="D29" s="6" t="s">
        <v>24</v>
      </c>
      <c r="E29" s="6" t="s">
        <v>24</v>
      </c>
      <c r="F29" s="6"/>
      <c r="G29" s="6"/>
      <c r="H29" s="6"/>
      <c r="I29" s="6"/>
      <c r="J29" s="6" t="s">
        <v>24</v>
      </c>
      <c r="K29" s="6" t="s">
        <v>24</v>
      </c>
      <c r="L29" s="6" t="s">
        <v>24</v>
      </c>
      <c r="M29" s="6"/>
      <c r="N29" s="6"/>
      <c r="O29" s="6"/>
      <c r="P29" s="6"/>
      <c r="Q29" s="6" t="s">
        <v>24</v>
      </c>
      <c r="R29" s="6" t="s">
        <v>23</v>
      </c>
      <c r="S29" s="6" t="s">
        <v>24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</row>
    <row r="30" spans="1:180">
      <c r="A30" s="21">
        <f t="shared" si="141"/>
        <v>20</v>
      </c>
      <c r="B30" s="22" t="s">
        <v>44</v>
      </c>
      <c r="C30" s="6" t="s">
        <v>24</v>
      </c>
      <c r="D30" s="6" t="s">
        <v>24</v>
      </c>
      <c r="E30" s="6" t="s">
        <v>24</v>
      </c>
      <c r="F30" s="6"/>
      <c r="G30" s="6"/>
      <c r="H30" s="6"/>
      <c r="I30" s="6"/>
      <c r="J30" s="6" t="s">
        <v>24</v>
      </c>
      <c r="K30" s="6" t="s">
        <v>23</v>
      </c>
      <c r="L30" s="6" t="s">
        <v>24</v>
      </c>
      <c r="M30" s="6"/>
      <c r="N30" s="6"/>
      <c r="O30" s="6"/>
      <c r="P30" s="6"/>
      <c r="Q30" s="6" t="s">
        <v>24</v>
      </c>
      <c r="R30" s="6" t="s">
        <v>23</v>
      </c>
      <c r="S30" s="6" t="s">
        <v>24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</row>
    <row r="31" spans="1:180">
      <c r="A31" s="21">
        <f t="shared" si="141"/>
        <v>21</v>
      </c>
      <c r="B31" s="22" t="s">
        <v>45</v>
      </c>
      <c r="C31" s="6" t="s">
        <v>23</v>
      </c>
      <c r="D31" s="6" t="s">
        <v>23</v>
      </c>
      <c r="E31" s="6" t="s">
        <v>24</v>
      </c>
      <c r="F31" s="6"/>
      <c r="G31" s="6"/>
      <c r="H31" s="6"/>
      <c r="I31" s="6"/>
      <c r="J31" s="6" t="s">
        <v>24</v>
      </c>
      <c r="K31" s="6" t="s">
        <v>24</v>
      </c>
      <c r="L31" s="6" t="s">
        <v>23</v>
      </c>
      <c r="M31" s="6"/>
      <c r="N31" s="6"/>
      <c r="O31" s="6"/>
      <c r="P31" s="6"/>
      <c r="Q31" s="6" t="s">
        <v>23</v>
      </c>
      <c r="R31" s="6" t="s">
        <v>23</v>
      </c>
      <c r="S31" s="6" t="s">
        <v>23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</row>
    <row r="32" spans="1:180">
      <c r="A32" s="21">
        <f t="shared" si="141"/>
        <v>22</v>
      </c>
      <c r="B32" s="22" t="s">
        <v>46</v>
      </c>
      <c r="C32" s="6" t="s">
        <v>24</v>
      </c>
      <c r="D32" s="6" t="s">
        <v>24</v>
      </c>
      <c r="E32" s="6" t="s">
        <v>24</v>
      </c>
      <c r="F32" s="6"/>
      <c r="G32" s="6"/>
      <c r="H32" s="6"/>
      <c r="I32" s="6"/>
      <c r="J32" s="6" t="s">
        <v>24</v>
      </c>
      <c r="K32" s="6" t="s">
        <v>24</v>
      </c>
      <c r="L32" s="6" t="s">
        <v>24</v>
      </c>
      <c r="M32" s="6"/>
      <c r="N32" s="6"/>
      <c r="O32" s="6"/>
      <c r="P32" s="6"/>
      <c r="Q32" s="6" t="s">
        <v>23</v>
      </c>
      <c r="R32" s="6" t="s">
        <v>24</v>
      </c>
      <c r="S32" s="6" t="s">
        <v>23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</row>
    <row r="33" spans="1:180">
      <c r="A33" s="21">
        <f t="shared" si="141"/>
        <v>23</v>
      </c>
      <c r="B33" s="22" t="s">
        <v>47</v>
      </c>
      <c r="C33" s="6" t="s">
        <v>23</v>
      </c>
      <c r="D33" s="6" t="s">
        <v>23</v>
      </c>
      <c r="E33" s="6" t="s">
        <v>23</v>
      </c>
      <c r="F33" s="6"/>
      <c r="G33" s="6"/>
      <c r="H33" s="6"/>
      <c r="I33" s="6"/>
      <c r="J33" s="6" t="s">
        <v>23</v>
      </c>
      <c r="K33" s="6" t="s">
        <v>23</v>
      </c>
      <c r="L33" s="6" t="s">
        <v>23</v>
      </c>
      <c r="M33" s="6"/>
      <c r="N33" s="6"/>
      <c r="O33" s="6"/>
      <c r="P33" s="6"/>
      <c r="Q33" s="6" t="s">
        <v>23</v>
      </c>
      <c r="R33" s="6" t="s">
        <v>23</v>
      </c>
      <c r="S33" s="6" t="s">
        <v>23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</row>
    <row r="34" spans="1:180">
      <c r="A34" s="21">
        <f t="shared" si="141"/>
        <v>24</v>
      </c>
      <c r="B34" s="22" t="s">
        <v>48</v>
      </c>
      <c r="C34" s="6" t="s">
        <v>23</v>
      </c>
      <c r="D34" s="6" t="s">
        <v>24</v>
      </c>
      <c r="E34" s="6" t="s">
        <v>24</v>
      </c>
      <c r="F34" s="6"/>
      <c r="G34" s="6"/>
      <c r="H34" s="6"/>
      <c r="I34" s="6"/>
      <c r="J34" s="6" t="s">
        <v>24</v>
      </c>
      <c r="K34" s="6" t="s">
        <v>24</v>
      </c>
      <c r="L34" s="6" t="s">
        <v>24</v>
      </c>
      <c r="M34" s="6"/>
      <c r="N34" s="6"/>
      <c r="O34" s="6"/>
      <c r="P34" s="6"/>
      <c r="Q34" s="6" t="s">
        <v>24</v>
      </c>
      <c r="R34" s="6" t="s">
        <v>24</v>
      </c>
      <c r="S34" s="6" t="s">
        <v>24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</row>
    <row r="35" spans="1:180">
      <c r="A35" s="21">
        <f t="shared" si="141"/>
        <v>25</v>
      </c>
      <c r="B35" s="22" t="s">
        <v>49</v>
      </c>
      <c r="C35" s="6" t="s">
        <v>24</v>
      </c>
      <c r="D35" s="6" t="s">
        <v>24</v>
      </c>
      <c r="E35" s="6" t="s">
        <v>24</v>
      </c>
      <c r="F35" s="6"/>
      <c r="G35" s="6"/>
      <c r="H35" s="6"/>
      <c r="I35" s="6"/>
      <c r="J35" s="6" t="s">
        <v>23</v>
      </c>
      <c r="K35" s="6" t="s">
        <v>23</v>
      </c>
      <c r="L35" s="6" t="s">
        <v>24</v>
      </c>
      <c r="M35" s="6"/>
      <c r="N35" s="6"/>
      <c r="O35" s="6"/>
      <c r="P35" s="6"/>
      <c r="Q35" s="6" t="s">
        <v>23</v>
      </c>
      <c r="R35" s="6" t="s">
        <v>24</v>
      </c>
      <c r="S35" s="6" t="s">
        <v>24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</row>
    <row r="36" spans="1:180">
      <c r="A36" s="21">
        <f t="shared" si="141"/>
        <v>26</v>
      </c>
      <c r="B36" s="22" t="s">
        <v>50</v>
      </c>
      <c r="C36" s="6" t="s">
        <v>23</v>
      </c>
      <c r="D36" s="6" t="s">
        <v>23</v>
      </c>
      <c r="E36" s="6" t="s">
        <v>24</v>
      </c>
      <c r="F36" s="6"/>
      <c r="G36" s="6"/>
      <c r="H36" s="6"/>
      <c r="I36" s="6"/>
      <c r="J36" s="6" t="s">
        <v>24</v>
      </c>
      <c r="K36" s="6" t="s">
        <v>24</v>
      </c>
      <c r="L36" s="6" t="s">
        <v>23</v>
      </c>
      <c r="M36" s="6"/>
      <c r="N36" s="6"/>
      <c r="O36" s="6"/>
      <c r="P36" s="6"/>
      <c r="Q36" s="6" t="s">
        <v>24</v>
      </c>
      <c r="R36" s="6" t="s">
        <v>24</v>
      </c>
      <c r="S36" s="6" t="s">
        <v>23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</row>
    <row r="37" spans="1:180">
      <c r="A37" s="21">
        <f t="shared" si="141"/>
        <v>27</v>
      </c>
      <c r="B37" s="22" t="s">
        <v>51</v>
      </c>
      <c r="C37" s="6" t="s">
        <v>23</v>
      </c>
      <c r="D37" s="6" t="s">
        <v>24</v>
      </c>
      <c r="E37" s="6" t="s">
        <v>24</v>
      </c>
      <c r="F37" s="6"/>
      <c r="G37" s="6"/>
      <c r="H37" s="6"/>
      <c r="I37" s="6"/>
      <c r="J37" s="6" t="s">
        <v>24</v>
      </c>
      <c r="K37" s="6" t="s">
        <v>24</v>
      </c>
      <c r="L37" s="6" t="s">
        <v>23</v>
      </c>
      <c r="M37" s="6"/>
      <c r="N37" s="6"/>
      <c r="O37" s="6"/>
      <c r="P37" s="6"/>
      <c r="Q37" s="6" t="s">
        <v>24</v>
      </c>
      <c r="R37" s="6" t="s">
        <v>24</v>
      </c>
      <c r="S37" s="6" t="s">
        <v>23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</row>
    <row r="38" spans="1:180">
      <c r="A38" s="21">
        <f t="shared" si="141"/>
        <v>28</v>
      </c>
      <c r="B38" s="22" t="s">
        <v>52</v>
      </c>
      <c r="C38" s="6" t="s">
        <v>23</v>
      </c>
      <c r="D38" s="6" t="s">
        <v>24</v>
      </c>
      <c r="E38" s="6" t="s">
        <v>24</v>
      </c>
      <c r="F38" s="6"/>
      <c r="G38" s="6"/>
      <c r="H38" s="6"/>
      <c r="I38" s="6"/>
      <c r="J38" s="6" t="s">
        <v>24</v>
      </c>
      <c r="K38" s="6" t="s">
        <v>24</v>
      </c>
      <c r="L38" s="6" t="s">
        <v>24</v>
      </c>
      <c r="M38" s="6"/>
      <c r="N38" s="6"/>
      <c r="O38" s="6"/>
      <c r="P38" s="6"/>
      <c r="Q38" s="6" t="s">
        <v>23</v>
      </c>
      <c r="R38" s="6" t="s">
        <v>24</v>
      </c>
      <c r="S38" s="6" t="s">
        <v>24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</row>
    <row r="39" spans="1:180">
      <c r="A39" s="21">
        <f t="shared" si="141"/>
        <v>29</v>
      </c>
      <c r="B39" s="22" t="s">
        <v>53</v>
      </c>
      <c r="C39" s="6" t="s">
        <v>23</v>
      </c>
      <c r="D39" s="6" t="s">
        <v>24</v>
      </c>
      <c r="E39" s="6" t="s">
        <v>24</v>
      </c>
      <c r="F39" s="6"/>
      <c r="G39" s="6"/>
      <c r="H39" s="6"/>
      <c r="I39" s="6"/>
      <c r="J39" s="6" t="s">
        <v>24</v>
      </c>
      <c r="K39" s="6" t="s">
        <v>24</v>
      </c>
      <c r="L39" s="6" t="s">
        <v>24</v>
      </c>
      <c r="M39" s="6"/>
      <c r="N39" s="6"/>
      <c r="O39" s="6"/>
      <c r="P39" s="6"/>
      <c r="Q39" s="6" t="s">
        <v>24</v>
      </c>
      <c r="R39" s="6" t="s">
        <v>24</v>
      </c>
      <c r="S39" s="6" t="s">
        <v>24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</row>
    <row r="40" spans="1:180">
      <c r="A40" s="21">
        <f t="shared" si="141"/>
        <v>30</v>
      </c>
      <c r="B40" s="22" t="s">
        <v>54</v>
      </c>
      <c r="C40" s="6" t="s">
        <v>23</v>
      </c>
      <c r="D40" s="6" t="s">
        <v>24</v>
      </c>
      <c r="E40" s="6" t="s">
        <v>24</v>
      </c>
      <c r="F40" s="6"/>
      <c r="G40" s="6"/>
      <c r="H40" s="6"/>
      <c r="I40" s="6"/>
      <c r="J40" s="6" t="s">
        <v>23</v>
      </c>
      <c r="K40" s="6" t="s">
        <v>24</v>
      </c>
      <c r="L40" s="6" t="s">
        <v>23</v>
      </c>
      <c r="M40" s="6"/>
      <c r="N40" s="6"/>
      <c r="O40" s="6"/>
      <c r="P40" s="6"/>
      <c r="Q40" s="6" t="s">
        <v>23</v>
      </c>
      <c r="R40" s="6" t="s">
        <v>24</v>
      </c>
      <c r="S40" s="6" t="s">
        <v>23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</row>
    <row r="41" spans="1:180">
      <c r="A41" s="21">
        <f t="shared" si="141"/>
        <v>31</v>
      </c>
      <c r="B41" s="22" t="s">
        <v>55</v>
      </c>
      <c r="C41" s="6" t="s">
        <v>23</v>
      </c>
      <c r="D41" s="6" t="s">
        <v>24</v>
      </c>
      <c r="E41" s="6" t="s">
        <v>24</v>
      </c>
      <c r="F41" s="6"/>
      <c r="G41" s="6"/>
      <c r="H41" s="6"/>
      <c r="I41" s="6"/>
      <c r="J41" s="6" t="s">
        <v>24</v>
      </c>
      <c r="K41" s="6" t="s">
        <v>23</v>
      </c>
      <c r="L41" s="6" t="s">
        <v>23</v>
      </c>
      <c r="M41" s="6"/>
      <c r="N41" s="6"/>
      <c r="O41" s="6"/>
      <c r="P41" s="6"/>
      <c r="Q41" s="6" t="s">
        <v>24</v>
      </c>
      <c r="R41" s="6" t="s">
        <v>24</v>
      </c>
      <c r="S41" s="6" t="s">
        <v>23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</row>
    <row r="42" spans="1:180">
      <c r="A42" s="21">
        <f t="shared" si="141"/>
        <v>32</v>
      </c>
      <c r="B42" s="22" t="s">
        <v>56</v>
      </c>
      <c r="C42" s="6" t="s">
        <v>23</v>
      </c>
      <c r="D42" s="6" t="s">
        <v>23</v>
      </c>
      <c r="E42" s="6" t="s">
        <v>24</v>
      </c>
      <c r="F42" s="6"/>
      <c r="G42" s="6"/>
      <c r="H42" s="6"/>
      <c r="I42" s="6"/>
      <c r="J42" s="6" t="s">
        <v>24</v>
      </c>
      <c r="K42" s="6" t="s">
        <v>24</v>
      </c>
      <c r="L42" s="6" t="s">
        <v>23</v>
      </c>
      <c r="M42" s="6"/>
      <c r="N42" s="6"/>
      <c r="O42" s="6"/>
      <c r="P42" s="6"/>
      <c r="Q42" s="6" t="s">
        <v>23</v>
      </c>
      <c r="R42" s="6" t="s">
        <v>23</v>
      </c>
      <c r="S42" s="6" t="s">
        <v>23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</row>
    <row r="43" spans="1:180">
      <c r="A43" s="21">
        <f t="shared" si="141"/>
        <v>33</v>
      </c>
      <c r="B43" s="22" t="s">
        <v>57</v>
      </c>
      <c r="C43" s="6" t="s">
        <v>23</v>
      </c>
      <c r="D43" s="6" t="s">
        <v>23</v>
      </c>
      <c r="E43" s="6" t="s">
        <v>23</v>
      </c>
      <c r="F43" s="6"/>
      <c r="G43" s="6"/>
      <c r="H43" s="6"/>
      <c r="I43" s="6"/>
      <c r="J43" s="6" t="s">
        <v>23</v>
      </c>
      <c r="K43" s="6" t="s">
        <v>23</v>
      </c>
      <c r="L43" s="6" t="s">
        <v>23</v>
      </c>
      <c r="M43" s="6"/>
      <c r="N43" s="6"/>
      <c r="O43" s="6"/>
      <c r="P43" s="6"/>
      <c r="Q43" s="6" t="s">
        <v>23</v>
      </c>
      <c r="R43" s="6" t="s">
        <v>23</v>
      </c>
      <c r="S43" s="6" t="s">
        <v>23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</row>
    <row r="44" spans="1:180">
      <c r="A44" s="21">
        <f t="shared" si="141"/>
        <v>34</v>
      </c>
      <c r="B44" s="22" t="s">
        <v>58</v>
      </c>
      <c r="C44" s="6" t="s">
        <v>23</v>
      </c>
      <c r="D44" s="6" t="s">
        <v>23</v>
      </c>
      <c r="E44" s="6" t="s">
        <v>23</v>
      </c>
      <c r="F44" s="6"/>
      <c r="G44" s="6"/>
      <c r="H44" s="6"/>
      <c r="I44" s="6"/>
      <c r="J44" s="6" t="s">
        <v>23</v>
      </c>
      <c r="K44" s="6" t="s">
        <v>23</v>
      </c>
      <c r="L44" s="6" t="s">
        <v>23</v>
      </c>
      <c r="M44" s="6"/>
      <c r="N44" s="6"/>
      <c r="O44" s="6"/>
      <c r="P44" s="6"/>
      <c r="Q44" s="6" t="s">
        <v>23</v>
      </c>
      <c r="R44" s="6" t="s">
        <v>23</v>
      </c>
      <c r="S44" s="6" t="s">
        <v>23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</row>
    <row r="45" spans="1:180">
      <c r="A45" s="21">
        <f t="shared" si="141"/>
        <v>35</v>
      </c>
      <c r="B45" s="22" t="s">
        <v>59</v>
      </c>
      <c r="C45" s="6" t="s">
        <v>24</v>
      </c>
      <c r="D45" s="6" t="s">
        <v>24</v>
      </c>
      <c r="E45" s="6" t="s">
        <v>24</v>
      </c>
      <c r="F45" s="6"/>
      <c r="G45" s="6"/>
      <c r="H45" s="6"/>
      <c r="I45" s="6"/>
      <c r="J45" s="6" t="s">
        <v>24</v>
      </c>
      <c r="K45" s="6" t="s">
        <v>23</v>
      </c>
      <c r="L45" s="6" t="s">
        <v>24</v>
      </c>
      <c r="M45" s="6"/>
      <c r="N45" s="6"/>
      <c r="O45" s="6"/>
      <c r="P45" s="6"/>
      <c r="Q45" s="6" t="s">
        <v>24</v>
      </c>
      <c r="R45" s="6" t="s">
        <v>23</v>
      </c>
      <c r="S45" s="6" t="s">
        <v>24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</row>
    <row r="46" spans="1:180">
      <c r="A46" s="21">
        <f t="shared" si="141"/>
        <v>36</v>
      </c>
      <c r="B46" s="22" t="s">
        <v>60</v>
      </c>
      <c r="C46" s="6" t="s">
        <v>23</v>
      </c>
      <c r="D46" s="6" t="s">
        <v>23</v>
      </c>
      <c r="E46" s="6" t="s">
        <v>23</v>
      </c>
      <c r="F46" s="6"/>
      <c r="G46" s="6"/>
      <c r="H46" s="6"/>
      <c r="I46" s="6"/>
      <c r="J46" s="6" t="s">
        <v>23</v>
      </c>
      <c r="K46" s="6" t="s">
        <v>24</v>
      </c>
      <c r="L46" s="6" t="s">
        <v>24</v>
      </c>
      <c r="M46" s="6"/>
      <c r="N46" s="6"/>
      <c r="O46" s="6"/>
      <c r="P46" s="6"/>
      <c r="Q46" s="6" t="s">
        <v>24</v>
      </c>
      <c r="R46" s="6" t="s">
        <v>23</v>
      </c>
      <c r="S46" s="6" t="s">
        <v>23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</row>
    <row r="47" spans="1:180">
      <c r="A47" s="21">
        <f t="shared" si="141"/>
        <v>37</v>
      </c>
      <c r="B47" s="22" t="s">
        <v>61</v>
      </c>
      <c r="C47" s="6" t="s">
        <v>23</v>
      </c>
      <c r="D47" s="6" t="s">
        <v>23</v>
      </c>
      <c r="E47" s="6" t="s">
        <v>24</v>
      </c>
      <c r="F47" s="6"/>
      <c r="G47" s="6"/>
      <c r="H47" s="6"/>
      <c r="I47" s="6"/>
      <c r="J47" s="6" t="s">
        <v>24</v>
      </c>
      <c r="K47" s="6" t="s">
        <v>23</v>
      </c>
      <c r="L47" s="6" t="s">
        <v>24</v>
      </c>
      <c r="M47" s="6"/>
      <c r="N47" s="6"/>
      <c r="O47" s="6"/>
      <c r="P47" s="6"/>
      <c r="Q47" s="6" t="s">
        <v>23</v>
      </c>
      <c r="R47" s="6" t="s">
        <v>23</v>
      </c>
      <c r="S47" s="6" t="s">
        <v>24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</row>
    <row r="48" spans="1:180">
      <c r="A48" s="21">
        <f t="shared" si="141"/>
        <v>38</v>
      </c>
      <c r="B48" s="22" t="s">
        <v>62</v>
      </c>
      <c r="C48" s="6" t="s">
        <v>24</v>
      </c>
      <c r="D48" s="6" t="s">
        <v>23</v>
      </c>
      <c r="E48" s="6" t="s">
        <v>24</v>
      </c>
      <c r="F48" s="6"/>
      <c r="G48" s="6"/>
      <c r="H48" s="6"/>
      <c r="I48" s="6"/>
      <c r="J48" s="6" t="s">
        <v>24</v>
      </c>
      <c r="K48" s="6" t="s">
        <v>24</v>
      </c>
      <c r="L48" s="6" t="s">
        <v>24</v>
      </c>
      <c r="M48" s="6"/>
      <c r="N48" s="6"/>
      <c r="O48" s="6"/>
      <c r="P48" s="6"/>
      <c r="Q48" s="6" t="s">
        <v>24</v>
      </c>
      <c r="R48" s="6" t="s">
        <v>24</v>
      </c>
      <c r="S48" s="6" t="s">
        <v>24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</row>
    <row r="49" spans="1:180">
      <c r="A49" s="21">
        <f t="shared" si="141"/>
        <v>39</v>
      </c>
      <c r="B49" s="22" t="s">
        <v>63</v>
      </c>
      <c r="C49" s="6" t="s">
        <v>23</v>
      </c>
      <c r="D49" s="6" t="s">
        <v>23</v>
      </c>
      <c r="E49" s="6" t="s">
        <v>24</v>
      </c>
      <c r="F49" s="6"/>
      <c r="G49" s="6"/>
      <c r="H49" s="6"/>
      <c r="I49" s="6"/>
      <c r="J49" s="6" t="s">
        <v>24</v>
      </c>
      <c r="K49" s="6" t="s">
        <v>24</v>
      </c>
      <c r="L49" s="6" t="s">
        <v>24</v>
      </c>
      <c r="M49" s="6"/>
      <c r="N49" s="6"/>
      <c r="O49" s="6"/>
      <c r="P49" s="6"/>
      <c r="Q49" s="6" t="s">
        <v>24</v>
      </c>
      <c r="R49" s="6" t="s">
        <v>24</v>
      </c>
      <c r="S49" s="6" t="s">
        <v>24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</row>
    <row r="50" spans="1:180">
      <c r="A50" s="21">
        <f t="shared" si="141"/>
        <v>40</v>
      </c>
      <c r="B50" s="22" t="s">
        <v>64</v>
      </c>
      <c r="C50" s="6" t="s">
        <v>23</v>
      </c>
      <c r="D50" s="6" t="s">
        <v>23</v>
      </c>
      <c r="E50" s="6" t="s">
        <v>23</v>
      </c>
      <c r="F50" s="6"/>
      <c r="G50" s="6"/>
      <c r="H50" s="6"/>
      <c r="I50" s="6"/>
      <c r="J50" s="6" t="s">
        <v>23</v>
      </c>
      <c r="K50" s="6" t="s">
        <v>23</v>
      </c>
      <c r="L50" s="6" t="s">
        <v>23</v>
      </c>
      <c r="M50" s="6"/>
      <c r="N50" s="6"/>
      <c r="O50" s="6"/>
      <c r="P50" s="6"/>
      <c r="Q50" s="6" t="s">
        <v>24</v>
      </c>
      <c r="R50" s="6" t="s">
        <v>23</v>
      </c>
      <c r="S50" s="6" t="s">
        <v>24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</row>
    <row r="51" spans="1:180">
      <c r="A51" s="21">
        <f t="shared" si="141"/>
        <v>41</v>
      </c>
      <c r="B51" s="22" t="s">
        <v>65</v>
      </c>
      <c r="C51" s="6" t="s">
        <v>23</v>
      </c>
      <c r="D51" s="6" t="s">
        <v>23</v>
      </c>
      <c r="E51" s="6" t="s">
        <v>23</v>
      </c>
      <c r="F51" s="6"/>
      <c r="G51" s="6"/>
      <c r="H51" s="6"/>
      <c r="I51" s="6"/>
      <c r="J51" s="6" t="s">
        <v>23</v>
      </c>
      <c r="K51" s="6" t="s">
        <v>23</v>
      </c>
      <c r="L51" s="6" t="s">
        <v>23</v>
      </c>
      <c r="M51" s="6"/>
      <c r="N51" s="6"/>
      <c r="O51" s="6"/>
      <c r="P51" s="6"/>
      <c r="Q51" s="6" t="s">
        <v>23</v>
      </c>
      <c r="R51" s="6" t="s">
        <v>23</v>
      </c>
      <c r="S51" s="6" t="s">
        <v>23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</row>
    <row r="52" spans="1:180">
      <c r="A52" s="21">
        <f t="shared" si="141"/>
        <v>42</v>
      </c>
      <c r="B52" s="22" t="s">
        <v>66</v>
      </c>
      <c r="C52" s="6" t="s">
        <v>23</v>
      </c>
      <c r="D52" s="6" t="s">
        <v>23</v>
      </c>
      <c r="E52" s="6" t="s">
        <v>23</v>
      </c>
      <c r="F52" s="6"/>
      <c r="G52" s="6"/>
      <c r="H52" s="6"/>
      <c r="I52" s="6"/>
      <c r="J52" s="6" t="s">
        <v>23</v>
      </c>
      <c r="K52" s="6" t="s">
        <v>23</v>
      </c>
      <c r="L52" s="6" t="s">
        <v>23</v>
      </c>
      <c r="M52" s="6"/>
      <c r="N52" s="6"/>
      <c r="O52" s="6"/>
      <c r="P52" s="6"/>
      <c r="Q52" s="6" t="s">
        <v>24</v>
      </c>
      <c r="R52" s="6" t="s">
        <v>24</v>
      </c>
      <c r="S52" s="6" t="s">
        <v>24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</row>
    <row r="53" spans="1:180">
      <c r="A53" s="21">
        <f t="shared" si="141"/>
        <v>43</v>
      </c>
      <c r="B53" s="22" t="s">
        <v>67</v>
      </c>
      <c r="C53" s="6" t="s">
        <v>23</v>
      </c>
      <c r="D53" s="6" t="s">
        <v>23</v>
      </c>
      <c r="E53" s="6" t="s">
        <v>24</v>
      </c>
      <c r="F53" s="6"/>
      <c r="G53" s="6"/>
      <c r="H53" s="6"/>
      <c r="I53" s="6"/>
      <c r="J53" s="6" t="s">
        <v>23</v>
      </c>
      <c r="K53" s="6" t="s">
        <v>24</v>
      </c>
      <c r="L53" s="6" t="s">
        <v>23</v>
      </c>
      <c r="M53" s="6"/>
      <c r="N53" s="6"/>
      <c r="O53" s="6"/>
      <c r="P53" s="6"/>
      <c r="Q53" s="6" t="s">
        <v>24</v>
      </c>
      <c r="R53" s="6" t="s">
        <v>23</v>
      </c>
      <c r="S53" s="6" t="s">
        <v>24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</row>
    <row r="54" spans="1:180">
      <c r="A54" s="21">
        <f t="shared" si="141"/>
        <v>44</v>
      </c>
      <c r="B54" s="22" t="s">
        <v>68</v>
      </c>
      <c r="C54" s="6" t="s">
        <v>23</v>
      </c>
      <c r="D54" s="6" t="s">
        <v>23</v>
      </c>
      <c r="E54" s="6" t="s">
        <v>23</v>
      </c>
      <c r="F54" s="6"/>
      <c r="G54" s="6"/>
      <c r="H54" s="6"/>
      <c r="I54" s="6"/>
      <c r="J54" s="6" t="s">
        <v>23</v>
      </c>
      <c r="K54" s="6" t="s">
        <v>23</v>
      </c>
      <c r="L54" s="6" t="s">
        <v>23</v>
      </c>
      <c r="M54" s="6"/>
      <c r="N54" s="6"/>
      <c r="O54" s="6"/>
      <c r="P54" s="6"/>
      <c r="Q54" s="6" t="s">
        <v>23</v>
      </c>
      <c r="R54" s="6" t="s">
        <v>23</v>
      </c>
      <c r="S54" s="6" t="s">
        <v>23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</row>
    <row r="55" spans="1:180">
      <c r="A55" s="21">
        <f t="shared" si="141"/>
        <v>45</v>
      </c>
      <c r="B55" s="22" t="s">
        <v>69</v>
      </c>
      <c r="C55" s="6" t="s">
        <v>23</v>
      </c>
      <c r="D55" s="6" t="s">
        <v>23</v>
      </c>
      <c r="E55" s="6" t="s">
        <v>23</v>
      </c>
      <c r="F55" s="6"/>
      <c r="G55" s="6"/>
      <c r="H55" s="6"/>
      <c r="I55" s="6"/>
      <c r="J55" s="6" t="s">
        <v>23</v>
      </c>
      <c r="K55" s="6" t="s">
        <v>23</v>
      </c>
      <c r="L55" s="6" t="s">
        <v>24</v>
      </c>
      <c r="M55" s="6"/>
      <c r="N55" s="6"/>
      <c r="O55" s="6"/>
      <c r="P55" s="6"/>
      <c r="Q55" s="6" t="s">
        <v>23</v>
      </c>
      <c r="R55" s="6" t="s">
        <v>23</v>
      </c>
      <c r="S55" s="6" t="s">
        <v>23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</row>
    <row r="57" spans="1:180" ht="30" customHeight="1">
      <c r="B57" s="40" t="s">
        <v>70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</row>
    <row r="58" spans="1:180" ht="30" customHeight="1">
      <c r="B58" s="40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</row>
    <row r="59" spans="1:180" ht="30" customHeight="1">
      <c r="B59" s="40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</row>
    <row r="60" spans="1:180" ht="30" customHeight="1">
      <c r="B60" s="40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</row>
    <row r="61" spans="1:180">
      <c r="B61" s="6" t="s">
        <v>71</v>
      </c>
      <c r="C61" s="6">
        <f>COUNTIF(C11:C55,"P")</f>
        <v>14</v>
      </c>
      <c r="D61" s="6">
        <f>COUNTIF(D11:D55,"P")</f>
        <v>20</v>
      </c>
      <c r="E61" s="6">
        <f>COUNTIF(E11:E55,"P")</f>
        <v>29</v>
      </c>
      <c r="F61" s="6">
        <f>COUNTIF(F11:F55,"P")</f>
        <v>0</v>
      </c>
      <c r="G61" s="6">
        <f>COUNTIF(G11:G55,"P")</f>
        <v>0</v>
      </c>
      <c r="H61" s="6">
        <f>COUNTIF(H11:H55,"P")</f>
        <v>0</v>
      </c>
      <c r="I61" s="6">
        <f>COUNTIF(I11:I55,"P")</f>
        <v>0</v>
      </c>
      <c r="J61" s="6">
        <f>COUNTIF(J11:J55,"P")</f>
        <v>25</v>
      </c>
      <c r="K61" s="6">
        <f>COUNTIF(K11:K55,"P")</f>
        <v>25</v>
      </c>
      <c r="L61" s="6">
        <f>COUNTIF(L11:L55,"P")</f>
        <v>25</v>
      </c>
      <c r="M61" s="6">
        <f>COUNTIF(M11:M55,"P")</f>
        <v>0</v>
      </c>
      <c r="N61" s="6">
        <f>COUNTIF(N11:N55,"P")</f>
        <v>0</v>
      </c>
      <c r="O61" s="6">
        <f>COUNTIF(O11:O55,"P")</f>
        <v>0</v>
      </c>
      <c r="P61" s="6">
        <f>COUNTIF(P11:P55,"P")</f>
        <v>0</v>
      </c>
      <c r="Q61" s="6">
        <f>COUNTIF(Q11:Q55,"P")</f>
        <v>25</v>
      </c>
      <c r="R61" s="6">
        <f>COUNTIF(R11:R55,"P")</f>
        <v>23</v>
      </c>
      <c r="S61" s="6">
        <f>COUNTIF(S11:S55,"P")</f>
        <v>21</v>
      </c>
      <c r="T61" s="6">
        <f>COUNTIF(T11:T55,"P")</f>
        <v>0</v>
      </c>
      <c r="U61" s="6">
        <f>COUNTIF(U11:U55,"P")</f>
        <v>0</v>
      </c>
      <c r="V61" s="6">
        <f>COUNTIF(V11:V55,"P")</f>
        <v>0</v>
      </c>
      <c r="W61" s="6">
        <f>COUNTIF(W11:W55,"P")</f>
        <v>0</v>
      </c>
      <c r="X61" s="6">
        <f>COUNTIF(X11:X55,"P")</f>
        <v>0</v>
      </c>
      <c r="Y61" s="6">
        <f>COUNTIF(Y11:Y55,"P")</f>
        <v>0</v>
      </c>
      <c r="Z61" s="6">
        <f>COUNTIF(Z11:Z55,"P")</f>
        <v>0</v>
      </c>
      <c r="AA61" s="6">
        <f>COUNTIF(AA11:AA55,"P")</f>
        <v>0</v>
      </c>
      <c r="AB61" s="6">
        <f>COUNTIF(AB11:AB55,"P")</f>
        <v>0</v>
      </c>
      <c r="AC61" s="6">
        <f>COUNTIF(AC11:AC55,"P")</f>
        <v>0</v>
      </c>
      <c r="AD61" s="6">
        <f>COUNTIF(AD11:AD55,"P")</f>
        <v>0</v>
      </c>
      <c r="AE61" s="6">
        <f>COUNTIF(AE11:AE55,"P")</f>
        <v>0</v>
      </c>
      <c r="AF61" s="6">
        <f>COUNTIF(AF11:AF55,"P")</f>
        <v>0</v>
      </c>
      <c r="AG61" s="6">
        <f>COUNTIF(AG11:AG55,"P")</f>
        <v>0</v>
      </c>
      <c r="AH61" s="6">
        <f>COUNTIF(AH11:AH55,"P")</f>
        <v>0</v>
      </c>
      <c r="AI61" s="6">
        <f>COUNTIF(AI11:AI55,"P")</f>
        <v>0</v>
      </c>
      <c r="AJ61" s="6">
        <f>COUNTIF(AJ11:AJ55,"P")</f>
        <v>0</v>
      </c>
      <c r="AK61" s="6">
        <f>COUNTIF(AK11:AK55,"P")</f>
        <v>0</v>
      </c>
      <c r="AL61" s="6">
        <f>COUNTIF(AL11:AL55,"P")</f>
        <v>0</v>
      </c>
      <c r="AM61" s="6">
        <f>COUNTIF(AM11:AM55,"P")</f>
        <v>0</v>
      </c>
      <c r="AN61" s="6">
        <f>COUNTIF(AN11:AN55,"P")</f>
        <v>0</v>
      </c>
      <c r="AO61" s="6">
        <f>COUNTIF(AO11:AO55,"P")</f>
        <v>0</v>
      </c>
      <c r="AP61" s="6">
        <f>COUNTIF(AP11:AP55,"P")</f>
        <v>0</v>
      </c>
      <c r="AQ61" s="6">
        <f>COUNTIF(AQ11:AQ55,"P")</f>
        <v>0</v>
      </c>
      <c r="AR61" s="6">
        <f>COUNTIF(AR11:AR55,"P")</f>
        <v>0</v>
      </c>
      <c r="AS61" s="6">
        <f>COUNTIF(AS11:AS55,"P")</f>
        <v>0</v>
      </c>
      <c r="AT61" s="6">
        <f>COUNTIF(AT11:AT55,"P")</f>
        <v>0</v>
      </c>
      <c r="AU61" s="6">
        <f>COUNTIF(AU11:AU55,"P")</f>
        <v>0</v>
      </c>
      <c r="AV61" s="6">
        <f>COUNTIF(AV11:AV55,"P")</f>
        <v>0</v>
      </c>
      <c r="AW61" s="6">
        <f>COUNTIF(AW11:AW55,"P")</f>
        <v>0</v>
      </c>
      <c r="AX61" s="6">
        <f>COUNTIF(AX11:AX55,"P")</f>
        <v>0</v>
      </c>
      <c r="AY61" s="6">
        <f>COUNTIF(AY11:AY55,"P")</f>
        <v>0</v>
      </c>
      <c r="AZ61" s="6">
        <f>COUNTIF(AZ11:AZ55,"P")</f>
        <v>0</v>
      </c>
      <c r="BA61" s="6">
        <f>COUNTIF(BA11:BA55,"P")</f>
        <v>0</v>
      </c>
      <c r="BB61" s="6">
        <f>COUNTIF(BB11:BB55,"P")</f>
        <v>0</v>
      </c>
      <c r="BC61" s="6">
        <f>COUNTIF(BC11:BC55,"P")</f>
        <v>0</v>
      </c>
      <c r="BD61" s="6">
        <f>COUNTIF(BD11:BD55,"P")</f>
        <v>0</v>
      </c>
      <c r="BE61" s="6">
        <f>COUNTIF(BE11:BE55,"P")</f>
        <v>0</v>
      </c>
      <c r="BF61" s="6">
        <f>COUNTIF(BF11:BF55,"P")</f>
        <v>0</v>
      </c>
      <c r="BG61" s="6">
        <f>COUNTIF(BG11:BG55,"P")</f>
        <v>0</v>
      </c>
      <c r="BH61" s="6">
        <f>COUNTIF(BH11:BH55,"P")</f>
        <v>0</v>
      </c>
      <c r="BI61" s="6">
        <f>COUNTIF(BI11:BI55,"P")</f>
        <v>0</v>
      </c>
      <c r="BJ61" s="6">
        <f>COUNTIF(BJ11:BJ55,"P")</f>
        <v>0</v>
      </c>
      <c r="BK61" s="6">
        <f>COUNTIF(BK11:BK55,"P")</f>
        <v>0</v>
      </c>
      <c r="BL61" s="6">
        <f>COUNTIF(BL11:BL55,"P")</f>
        <v>0</v>
      </c>
      <c r="BM61" s="6">
        <f>COUNTIF(BM11:BM55,"P")</f>
        <v>0</v>
      </c>
      <c r="BN61" s="6">
        <f>COUNTIF(BN11:BN55,"P")</f>
        <v>0</v>
      </c>
      <c r="BO61" s="6">
        <f>COUNTIF(BO11:BO55,"P")</f>
        <v>0</v>
      </c>
      <c r="BP61" s="6">
        <f>COUNTIF(BP11:BP55,"P")</f>
        <v>0</v>
      </c>
      <c r="BQ61" s="6">
        <f>COUNTIF(BQ11:BQ55,"P")</f>
        <v>0</v>
      </c>
      <c r="BR61" s="6">
        <f>COUNTIF(BR11:BR55,"P")</f>
        <v>0</v>
      </c>
      <c r="BS61" s="6">
        <f>COUNTIF(BS11:BS55,"P")</f>
        <v>0</v>
      </c>
      <c r="BT61" s="6">
        <f>COUNTIF(BT11:BT55,"P")</f>
        <v>0</v>
      </c>
      <c r="BU61" s="6">
        <f>COUNTIF(BU11:BU55,"P")</f>
        <v>0</v>
      </c>
      <c r="BV61" s="6">
        <f>COUNTIF(BV11:BV55,"P")</f>
        <v>0</v>
      </c>
      <c r="BW61" s="6">
        <f>COUNTIF(BW11:BW55,"P")</f>
        <v>0</v>
      </c>
      <c r="BX61" s="6">
        <f>COUNTIF(BX11:BX55,"P")</f>
        <v>0</v>
      </c>
      <c r="BY61" s="6">
        <f>COUNTIF(BY11:BY55,"P")</f>
        <v>0</v>
      </c>
      <c r="BZ61" s="6">
        <f>COUNTIF(BZ11:BZ55,"P")</f>
        <v>0</v>
      </c>
      <c r="CA61" s="6">
        <f>COUNTIF(CA11:CA55,"P")</f>
        <v>0</v>
      </c>
      <c r="CB61" s="6">
        <f>COUNTIF(CB11:CB55,"P")</f>
        <v>0</v>
      </c>
      <c r="CC61" s="6">
        <f>COUNTIF(CC11:CC55,"P")</f>
        <v>0</v>
      </c>
      <c r="CD61" s="6">
        <f>COUNTIF(CD11:CD55,"P")</f>
        <v>0</v>
      </c>
      <c r="CE61" s="6">
        <f>COUNTIF(CE11:CE55,"P")</f>
        <v>0</v>
      </c>
      <c r="CF61" s="6">
        <f>COUNTIF(CF11:CF55,"P")</f>
        <v>0</v>
      </c>
      <c r="CG61" s="6">
        <f>COUNTIF(CG11:CG55,"P")</f>
        <v>0</v>
      </c>
      <c r="CH61" s="6">
        <f>COUNTIF(CH11:CH55,"P")</f>
        <v>0</v>
      </c>
      <c r="CI61" s="6">
        <f>COUNTIF(CI11:CI55,"P")</f>
        <v>0</v>
      </c>
      <c r="CJ61" s="6">
        <f>COUNTIF(CJ11:CJ55,"P")</f>
        <v>0</v>
      </c>
      <c r="CK61" s="6">
        <f>COUNTIF(CK11:CK55,"P")</f>
        <v>0</v>
      </c>
      <c r="CL61" s="6">
        <f>COUNTIF(CL11:CL55,"P")</f>
        <v>0</v>
      </c>
      <c r="CM61" s="6">
        <f>COUNTIF(CM11:CM55,"P")</f>
        <v>0</v>
      </c>
      <c r="CN61" s="6">
        <f>COUNTIF(CN11:CN55,"P")</f>
        <v>0</v>
      </c>
      <c r="CO61" s="6">
        <f>COUNTIF(CO11:CO55,"P")</f>
        <v>0</v>
      </c>
      <c r="CP61" s="6">
        <f>COUNTIF(CP11:CP55,"P")</f>
        <v>0</v>
      </c>
      <c r="CQ61" s="6">
        <f>COUNTIF(CQ11:CQ55,"P")</f>
        <v>0</v>
      </c>
      <c r="CR61" s="6">
        <f>COUNTIF(CR11:CR55,"P")</f>
        <v>0</v>
      </c>
      <c r="CS61" s="6">
        <f>COUNTIF(CS11:CS55,"P")</f>
        <v>0</v>
      </c>
      <c r="CT61" s="6">
        <f>COUNTIF(CT11:CT55,"P")</f>
        <v>0</v>
      </c>
      <c r="CU61" s="6">
        <f>COUNTIF(CU11:CU55,"P")</f>
        <v>0</v>
      </c>
      <c r="CV61" s="6">
        <f>COUNTIF(CV11:CV55,"P")</f>
        <v>0</v>
      </c>
      <c r="CW61" s="6">
        <f>COUNTIF(CW11:CW55,"P")</f>
        <v>0</v>
      </c>
      <c r="CX61" s="6">
        <f>COUNTIF(CX11:CX55,"P")</f>
        <v>0</v>
      </c>
      <c r="CY61" s="6">
        <f>COUNTIF(CY11:CY55,"P")</f>
        <v>0</v>
      </c>
      <c r="CZ61" s="6">
        <f>COUNTIF(CZ11:CZ55,"P")</f>
        <v>0</v>
      </c>
      <c r="DA61" s="6">
        <f>COUNTIF(DA11:DA55,"P")</f>
        <v>0</v>
      </c>
      <c r="DB61" s="6">
        <f>COUNTIF(DB11:DB55,"P")</f>
        <v>0</v>
      </c>
      <c r="DC61" s="6">
        <f>COUNTIF(DC11:DC55,"P")</f>
        <v>0</v>
      </c>
      <c r="DD61" s="6">
        <f>COUNTIF(DD11:DD55,"P")</f>
        <v>0</v>
      </c>
      <c r="DE61" s="6">
        <f>COUNTIF(DE11:DE55,"P")</f>
        <v>0</v>
      </c>
      <c r="DF61" s="6">
        <f>COUNTIF(DF11:DF55,"P")</f>
        <v>0</v>
      </c>
      <c r="DG61" s="6">
        <f>COUNTIF(DG11:DG55,"P")</f>
        <v>0</v>
      </c>
      <c r="DH61" s="6">
        <f>COUNTIF(DH11:DH55,"P")</f>
        <v>0</v>
      </c>
      <c r="DI61" s="6">
        <f>COUNTIF(DI11:DI55,"P")</f>
        <v>0</v>
      </c>
      <c r="DJ61" s="6">
        <f>COUNTIF(DJ11:DJ55,"P")</f>
        <v>0</v>
      </c>
      <c r="DK61" s="6">
        <f>COUNTIF(DK11:DK55,"P")</f>
        <v>0</v>
      </c>
      <c r="DL61" s="6">
        <f>COUNTIF(DL11:DL55,"P")</f>
        <v>0</v>
      </c>
      <c r="DM61" s="6">
        <f>COUNTIF(DM11:DM55,"P")</f>
        <v>0</v>
      </c>
      <c r="DN61" s="6">
        <f>COUNTIF(DN11:DN55,"P")</f>
        <v>0</v>
      </c>
      <c r="DO61" s="6">
        <f>COUNTIF(DO11:DO55,"P")</f>
        <v>0</v>
      </c>
      <c r="DP61" s="6">
        <f>COUNTIF(DP11:DP55,"P")</f>
        <v>0</v>
      </c>
      <c r="DQ61" s="6">
        <f>COUNTIF(DQ11:DQ55,"P")</f>
        <v>0</v>
      </c>
      <c r="DR61" s="6">
        <f>COUNTIF(DR11:DR55,"P")</f>
        <v>0</v>
      </c>
      <c r="DS61" s="6">
        <f>COUNTIF(DS11:DS55,"P")</f>
        <v>0</v>
      </c>
      <c r="DT61" s="6">
        <f>COUNTIF(DT11:DT55,"P")</f>
        <v>0</v>
      </c>
      <c r="DU61" s="6">
        <f>COUNTIF(DU11:DU55,"P")</f>
        <v>0</v>
      </c>
      <c r="DV61" s="6">
        <f>COUNTIF(DV11:DV55,"P")</f>
        <v>0</v>
      </c>
      <c r="DW61" s="6">
        <f>COUNTIF(DW11:DW55,"P")</f>
        <v>0</v>
      </c>
      <c r="DX61" s="6">
        <f>COUNTIF(DX11:DX55,"P")</f>
        <v>0</v>
      </c>
      <c r="DY61" s="6">
        <f>COUNTIF(DY11:DY55,"P")</f>
        <v>0</v>
      </c>
      <c r="DZ61" s="6">
        <f>COUNTIF(DZ11:DZ55,"P")</f>
        <v>0</v>
      </c>
      <c r="EA61" s="6">
        <f>COUNTIF(EA11:EA55,"P")</f>
        <v>0</v>
      </c>
      <c r="EB61" s="6">
        <f>COUNTIF(EB11:EB55,"P")</f>
        <v>0</v>
      </c>
      <c r="EC61" s="6">
        <f>COUNTIF(EC11:EC55,"P")</f>
        <v>0</v>
      </c>
      <c r="ED61" s="6">
        <f>COUNTIF(ED11:ED55,"P")</f>
        <v>0</v>
      </c>
      <c r="EE61" s="6">
        <f>COUNTIF(EE11:EE55,"P")</f>
        <v>0</v>
      </c>
      <c r="EF61" s="6">
        <f>COUNTIF(EF11:EF55,"P")</f>
        <v>0</v>
      </c>
      <c r="EG61" s="6">
        <f>COUNTIF(EG11:EG55,"P")</f>
        <v>0</v>
      </c>
      <c r="EH61" s="6">
        <f>COUNTIF(EH11:EH55,"P")</f>
        <v>0</v>
      </c>
      <c r="EI61" s="6">
        <f>COUNTIF(EI11:EI55,"P")</f>
        <v>0</v>
      </c>
      <c r="EJ61" s="6">
        <f>COUNTIF(EJ11:EJ55,"P")</f>
        <v>0</v>
      </c>
      <c r="EK61" s="6">
        <f>COUNTIF(EK11:EK55,"P")</f>
        <v>0</v>
      </c>
      <c r="EL61" s="6">
        <f>COUNTIF(EL11:EL55,"P")</f>
        <v>0</v>
      </c>
      <c r="EM61" s="6">
        <f>COUNTIF(EM11:EM55,"P")</f>
        <v>0</v>
      </c>
      <c r="EN61" s="6">
        <f>COUNTIF(EN11:EN55,"P")</f>
        <v>0</v>
      </c>
      <c r="EO61" s="6">
        <f>COUNTIF(EO11:EO55,"P")</f>
        <v>0</v>
      </c>
      <c r="EP61" s="6">
        <f>COUNTIF(EP11:EP55,"P")</f>
        <v>0</v>
      </c>
      <c r="EQ61" s="6">
        <f>COUNTIF(EQ11:EQ55,"P")</f>
        <v>0</v>
      </c>
      <c r="ER61" s="6">
        <f>COUNTIF(ER11:ER55,"P")</f>
        <v>0</v>
      </c>
      <c r="ES61" s="6">
        <f>COUNTIF(ES11:ES55,"P")</f>
        <v>0</v>
      </c>
      <c r="ET61" s="6">
        <f>COUNTIF(ET11:ET55,"P")</f>
        <v>0</v>
      </c>
      <c r="EU61" s="6">
        <f>COUNTIF(EU11:EU55,"P")</f>
        <v>0</v>
      </c>
      <c r="EV61" s="6">
        <f>COUNTIF(EV11:EV55,"P")</f>
        <v>0</v>
      </c>
      <c r="EW61" s="6">
        <f>COUNTIF(EW11:EW55,"P")</f>
        <v>0</v>
      </c>
      <c r="EX61" s="6">
        <f>COUNTIF(EX11:EX55,"P")</f>
        <v>0</v>
      </c>
      <c r="EY61" s="6">
        <f>COUNTIF(EY11:EY55,"P")</f>
        <v>0</v>
      </c>
      <c r="EZ61" s="6">
        <f>COUNTIF(EZ11:EZ55,"P")</f>
        <v>0</v>
      </c>
      <c r="FA61" s="6">
        <f>COUNTIF(FA11:FA55,"P")</f>
        <v>0</v>
      </c>
      <c r="FB61" s="6">
        <f>COUNTIF(FB11:FB55,"P")</f>
        <v>0</v>
      </c>
      <c r="FC61" s="6">
        <f>COUNTIF(FC11:FC55,"P")</f>
        <v>0</v>
      </c>
      <c r="FD61" s="6">
        <f>COUNTIF(FD11:FD55,"P")</f>
        <v>0</v>
      </c>
      <c r="FE61" s="6">
        <f>COUNTIF(FE11:FE55,"P")</f>
        <v>0</v>
      </c>
      <c r="FF61" s="6">
        <f>COUNTIF(FF11:FF55,"P")</f>
        <v>0</v>
      </c>
      <c r="FG61" s="6">
        <f>COUNTIF(FG11:FG55,"P")</f>
        <v>0</v>
      </c>
      <c r="FH61" s="6">
        <f>COUNTIF(FH11:FH55,"P")</f>
        <v>0</v>
      </c>
      <c r="FI61" s="6">
        <f>COUNTIF(FI11:FI55,"P")</f>
        <v>0</v>
      </c>
      <c r="FJ61" s="6">
        <f>COUNTIF(FJ11:FJ55,"P")</f>
        <v>0</v>
      </c>
      <c r="FK61" s="6">
        <f>COUNTIF(FK11:FK55,"P")</f>
        <v>0</v>
      </c>
      <c r="FL61" s="6">
        <f>COUNTIF(FL11:FL55,"P")</f>
        <v>0</v>
      </c>
      <c r="FM61" s="6">
        <f>COUNTIF(FM11:FM55,"P")</f>
        <v>0</v>
      </c>
      <c r="FN61" s="6">
        <f>COUNTIF(FN11:FN55,"P")</f>
        <v>0</v>
      </c>
      <c r="FO61" s="6">
        <f>COUNTIF(FO11:FO55,"P")</f>
        <v>0</v>
      </c>
      <c r="FP61" s="6">
        <f>COUNTIF(FP11:FP55,"P")</f>
        <v>0</v>
      </c>
      <c r="FQ61" s="6">
        <f>COUNTIF(FQ11:FQ55,"P")</f>
        <v>0</v>
      </c>
      <c r="FR61" s="6">
        <f>COUNTIF(FR11:FR55,"P")</f>
        <v>0</v>
      </c>
      <c r="FS61" s="6">
        <f>COUNTIF(FS11:FS55,"P")</f>
        <v>0</v>
      </c>
      <c r="FT61" s="6">
        <f>COUNTIF(FT11:FT55,"P")</f>
        <v>0</v>
      </c>
      <c r="FU61" s="6">
        <f>COUNTIF(FU11:FU55,"P")</f>
        <v>0</v>
      </c>
      <c r="FV61" s="6">
        <f>COUNTIF(FV11:FV55,"P")</f>
        <v>0</v>
      </c>
      <c r="FW61" s="6">
        <f>COUNTIF(FW11:FW55,"P")</f>
        <v>0</v>
      </c>
      <c r="FX61" s="6">
        <f>COUNTIF(FX11:FX55,"P")</f>
        <v>0</v>
      </c>
    </row>
  </sheetData>
  <sheetProtection algorithmName="SHA-512" hashValue="PCkhcSmcV5Da8UiQJYoqFeGGr8/ZIaxTcjJBYInUbjEKMZhJIbVmJ9kSXdI6KnI6YdaQAOGGEgdRIAuTXFt9RQ==" saltValue="dmufoYIo4CHqsPW59cpYiw==" spinCount="100000" sheet="1" objects="1" scenarios="1"/>
  <protectedRanges>
    <protectedRange sqref="C11:FX60" name="Range1"/>
  </protectedRanges>
  <mergeCells count="200">
    <mergeCell ref="FU57:FU60"/>
    <mergeCell ref="FV57:FV60"/>
    <mergeCell ref="FW57:FW60"/>
    <mergeCell ref="FX57:FX60"/>
    <mergeCell ref="FP57:FP60"/>
    <mergeCell ref="FQ57:FQ60"/>
    <mergeCell ref="FR57:FR60"/>
    <mergeCell ref="FS57:FS60"/>
    <mergeCell ref="FT57:FT60"/>
    <mergeCell ref="FK57:FK60"/>
    <mergeCell ref="FL57:FL60"/>
    <mergeCell ref="FM57:FM60"/>
    <mergeCell ref="FN57:FN60"/>
    <mergeCell ref="FO57:FO60"/>
    <mergeCell ref="FF57:FF60"/>
    <mergeCell ref="FG57:FG60"/>
    <mergeCell ref="FH57:FH60"/>
    <mergeCell ref="FI57:FI60"/>
    <mergeCell ref="FJ57:FJ60"/>
    <mergeCell ref="FA57:FA60"/>
    <mergeCell ref="FB57:FB60"/>
    <mergeCell ref="FC57:FC60"/>
    <mergeCell ref="FD57:FD60"/>
    <mergeCell ref="FE57:FE60"/>
    <mergeCell ref="EV57:EV60"/>
    <mergeCell ref="EW57:EW60"/>
    <mergeCell ref="EX57:EX60"/>
    <mergeCell ref="EY57:EY60"/>
    <mergeCell ref="EZ57:EZ60"/>
    <mergeCell ref="EQ57:EQ60"/>
    <mergeCell ref="ER57:ER60"/>
    <mergeCell ref="ES57:ES60"/>
    <mergeCell ref="ET57:ET60"/>
    <mergeCell ref="EU57:EU60"/>
    <mergeCell ref="EL57:EL60"/>
    <mergeCell ref="EM57:EM60"/>
    <mergeCell ref="EN57:EN60"/>
    <mergeCell ref="EO57:EO60"/>
    <mergeCell ref="EP57:EP60"/>
    <mergeCell ref="EG57:EG60"/>
    <mergeCell ref="EH57:EH60"/>
    <mergeCell ref="EI57:EI60"/>
    <mergeCell ref="EJ57:EJ60"/>
    <mergeCell ref="EK57:EK60"/>
    <mergeCell ref="EB57:EB60"/>
    <mergeCell ref="EC57:EC60"/>
    <mergeCell ref="ED57:ED60"/>
    <mergeCell ref="EE57:EE60"/>
    <mergeCell ref="EF57:EF60"/>
    <mergeCell ref="DW57:DW60"/>
    <mergeCell ref="DX57:DX60"/>
    <mergeCell ref="DY57:DY60"/>
    <mergeCell ref="DZ57:DZ60"/>
    <mergeCell ref="EA57:EA60"/>
    <mergeCell ref="DR57:DR60"/>
    <mergeCell ref="DS57:DS60"/>
    <mergeCell ref="DT57:DT60"/>
    <mergeCell ref="DU57:DU60"/>
    <mergeCell ref="DV57:DV60"/>
    <mergeCell ref="DM57:DM60"/>
    <mergeCell ref="DN57:DN60"/>
    <mergeCell ref="DO57:DO60"/>
    <mergeCell ref="DP57:DP60"/>
    <mergeCell ref="DQ57:DQ60"/>
    <mergeCell ref="DH57:DH60"/>
    <mergeCell ref="DI57:DI60"/>
    <mergeCell ref="DJ57:DJ60"/>
    <mergeCell ref="DK57:DK60"/>
    <mergeCell ref="DL57:DL60"/>
    <mergeCell ref="DC57:DC60"/>
    <mergeCell ref="DD57:DD60"/>
    <mergeCell ref="DE57:DE60"/>
    <mergeCell ref="DF57:DF60"/>
    <mergeCell ref="DG57:DG60"/>
    <mergeCell ref="CX57:CX60"/>
    <mergeCell ref="CY57:CY60"/>
    <mergeCell ref="CZ57:CZ60"/>
    <mergeCell ref="DA57:DA60"/>
    <mergeCell ref="DB57:DB60"/>
    <mergeCell ref="CS57:CS60"/>
    <mergeCell ref="CT57:CT60"/>
    <mergeCell ref="CU57:CU60"/>
    <mergeCell ref="CV57:CV60"/>
    <mergeCell ref="CW57:CW60"/>
    <mergeCell ref="CN57:CN60"/>
    <mergeCell ref="CO57:CO60"/>
    <mergeCell ref="CP57:CP60"/>
    <mergeCell ref="CQ57:CQ60"/>
    <mergeCell ref="CR57:CR60"/>
    <mergeCell ref="CI57:CI60"/>
    <mergeCell ref="CJ57:CJ60"/>
    <mergeCell ref="CK57:CK60"/>
    <mergeCell ref="CL57:CL60"/>
    <mergeCell ref="CM57:CM60"/>
    <mergeCell ref="CD57:CD60"/>
    <mergeCell ref="CE57:CE60"/>
    <mergeCell ref="CF57:CF60"/>
    <mergeCell ref="CG57:CG60"/>
    <mergeCell ref="CH57:CH60"/>
    <mergeCell ref="BY57:BY60"/>
    <mergeCell ref="BZ57:BZ60"/>
    <mergeCell ref="CA57:CA60"/>
    <mergeCell ref="CB57:CB60"/>
    <mergeCell ref="CC57:CC60"/>
    <mergeCell ref="BT57:BT60"/>
    <mergeCell ref="BU57:BU60"/>
    <mergeCell ref="BV57:BV60"/>
    <mergeCell ref="BW57:BW60"/>
    <mergeCell ref="BX57:BX60"/>
    <mergeCell ref="BO57:BO60"/>
    <mergeCell ref="BP57:BP60"/>
    <mergeCell ref="BQ57:BQ60"/>
    <mergeCell ref="BR57:BR60"/>
    <mergeCell ref="BS57:BS60"/>
    <mergeCell ref="BJ57:BJ60"/>
    <mergeCell ref="BK57:BK60"/>
    <mergeCell ref="BL57:BL60"/>
    <mergeCell ref="BM57:BM60"/>
    <mergeCell ref="BN57:BN60"/>
    <mergeCell ref="BE57:BE60"/>
    <mergeCell ref="BF57:BF60"/>
    <mergeCell ref="BG57:BG60"/>
    <mergeCell ref="BH57:BH60"/>
    <mergeCell ref="BI57:BI60"/>
    <mergeCell ref="AZ57:AZ60"/>
    <mergeCell ref="BA57:BA60"/>
    <mergeCell ref="BB57:BB60"/>
    <mergeCell ref="BC57:BC60"/>
    <mergeCell ref="BD57:BD60"/>
    <mergeCell ref="AU57:AU60"/>
    <mergeCell ref="AV57:AV60"/>
    <mergeCell ref="AW57:AW60"/>
    <mergeCell ref="AX57:AX60"/>
    <mergeCell ref="AY57:AY60"/>
    <mergeCell ref="AP57:AP60"/>
    <mergeCell ref="AQ57:AQ60"/>
    <mergeCell ref="AR57:AR60"/>
    <mergeCell ref="AS57:AS60"/>
    <mergeCell ref="AT57:AT60"/>
    <mergeCell ref="AK57:AK60"/>
    <mergeCell ref="AL57:AL60"/>
    <mergeCell ref="AM57:AM60"/>
    <mergeCell ref="AN57:AN60"/>
    <mergeCell ref="AO57:AO60"/>
    <mergeCell ref="AF57:AF60"/>
    <mergeCell ref="AG57:AG60"/>
    <mergeCell ref="AH57:AH60"/>
    <mergeCell ref="AI57:AI60"/>
    <mergeCell ref="AJ57:AJ60"/>
    <mergeCell ref="AA57:AA60"/>
    <mergeCell ref="AB57:AB60"/>
    <mergeCell ref="AC57:AC60"/>
    <mergeCell ref="AD57:AD60"/>
    <mergeCell ref="AE57:AE60"/>
    <mergeCell ref="V57:V60"/>
    <mergeCell ref="W57:W60"/>
    <mergeCell ref="X57:X60"/>
    <mergeCell ref="Y57:Y60"/>
    <mergeCell ref="Z57:Z60"/>
    <mergeCell ref="Q57:Q60"/>
    <mergeCell ref="R57:R60"/>
    <mergeCell ref="S57:S60"/>
    <mergeCell ref="T57:T60"/>
    <mergeCell ref="U57:U60"/>
    <mergeCell ref="L57:L60"/>
    <mergeCell ref="M57:M60"/>
    <mergeCell ref="N57:N60"/>
    <mergeCell ref="O57:O60"/>
    <mergeCell ref="P57:P60"/>
    <mergeCell ref="G57:G60"/>
    <mergeCell ref="H57:H60"/>
    <mergeCell ref="I57:I60"/>
    <mergeCell ref="J57:J60"/>
    <mergeCell ref="K57:K60"/>
    <mergeCell ref="B57:B60"/>
    <mergeCell ref="C57:C60"/>
    <mergeCell ref="D57:D60"/>
    <mergeCell ref="E57:E60"/>
    <mergeCell ref="F57:F60"/>
    <mergeCell ref="B9:B10"/>
    <mergeCell ref="A9:A10"/>
    <mergeCell ref="O3:P4"/>
    <mergeCell ref="Q3:R4"/>
    <mergeCell ref="O5:R6"/>
    <mergeCell ref="T5:U6"/>
    <mergeCell ref="A1:I2"/>
    <mergeCell ref="A3:I4"/>
    <mergeCell ref="A5:I6"/>
    <mergeCell ref="M5:N6"/>
    <mergeCell ref="K3:L4"/>
    <mergeCell ref="M3:N4"/>
    <mergeCell ref="K5:L6"/>
    <mergeCell ref="K1:R2"/>
    <mergeCell ref="T1:AA2"/>
    <mergeCell ref="T3:U4"/>
    <mergeCell ref="V3:W4"/>
    <mergeCell ref="X3:Y4"/>
    <mergeCell ref="Z3:AA4"/>
    <mergeCell ref="V5:W6"/>
    <mergeCell ref="X5:AA6"/>
  </mergeCells>
  <conditionalFormatting sqref="F21:I21 F33:I33 F44:I44 F51:I51 F54:I54 M11:FX55">
    <cfRule type="notContainsBlanks" dxfId="130" priority="129">
      <formula>LEN(TRIM(F11))&gt;0</formula>
    </cfRule>
    <cfRule type="cellIs" dxfId="129" priority="130" operator="equal">
      <formula>"A"</formula>
    </cfRule>
    <cfRule type="cellIs" dxfId="128" priority="131" operator="equal">
      <formula>"P"</formula>
    </cfRule>
    <cfRule type="expression" dxfId="127" priority="132">
      <formula>F$11="H"</formula>
    </cfRule>
    <cfRule type="expression" dxfId="126" priority="133">
      <formula>F$9="SUN"</formula>
    </cfRule>
  </conditionalFormatting>
  <conditionalFormatting sqref="C11:L11">
    <cfRule type="cellIs" dxfId="125" priority="125" operator="equal">
      <formula>"A"</formula>
    </cfRule>
    <cfRule type="cellIs" dxfId="124" priority="126" operator="equal">
      <formula>"P"</formula>
    </cfRule>
    <cfRule type="expression" dxfId="123" priority="128">
      <formula>C$9="SUN"</formula>
    </cfRule>
  </conditionalFormatting>
  <conditionalFormatting sqref="C12:L12">
    <cfRule type="notContainsBlanks" dxfId="122" priority="119">
      <formula>LEN(TRIM(C12))&gt;0</formula>
    </cfRule>
    <cfRule type="cellIs" dxfId="121" priority="120" operator="equal">
      <formula>"A"</formula>
    </cfRule>
    <cfRule type="cellIs" dxfId="120" priority="121" operator="equal">
      <formula>"P"</formula>
    </cfRule>
    <cfRule type="expression" dxfId="119" priority="122">
      <formula>C$11="H"</formula>
    </cfRule>
    <cfRule type="expression" dxfId="118" priority="123">
      <formula>C$9="SUN"</formula>
    </cfRule>
  </conditionalFormatting>
  <conditionalFormatting sqref="C13:L16">
    <cfRule type="notContainsBlanks" dxfId="117" priority="114">
      <formula>LEN(TRIM(C13))&gt;0</formula>
    </cfRule>
    <cfRule type="cellIs" dxfId="116" priority="115" operator="equal">
      <formula>"A"</formula>
    </cfRule>
    <cfRule type="cellIs" dxfId="115" priority="116" operator="equal">
      <formula>"P"</formula>
    </cfRule>
    <cfRule type="expression" dxfId="114" priority="117">
      <formula>C$11="H"</formula>
    </cfRule>
    <cfRule type="expression" dxfId="113" priority="118">
      <formula>C$9="SUN"</formula>
    </cfRule>
  </conditionalFormatting>
  <conditionalFormatting sqref="C17:L18">
    <cfRule type="notContainsBlanks" dxfId="112" priority="109">
      <formula>LEN(TRIM(C17))&gt;0</formula>
    </cfRule>
    <cfRule type="cellIs" dxfId="111" priority="110" operator="equal">
      <formula>"A"</formula>
    </cfRule>
    <cfRule type="cellIs" dxfId="110" priority="111" operator="equal">
      <formula>"P"</formula>
    </cfRule>
    <cfRule type="expression" dxfId="109" priority="112">
      <formula>C$11="H"</formula>
    </cfRule>
    <cfRule type="expression" dxfId="108" priority="113">
      <formula>C$9="SUN"</formula>
    </cfRule>
  </conditionalFormatting>
  <conditionalFormatting sqref="C19:L19">
    <cfRule type="notContainsBlanks" dxfId="107" priority="104">
      <formula>LEN(TRIM(C19))&gt;0</formula>
    </cfRule>
    <cfRule type="cellIs" dxfId="106" priority="105" operator="equal">
      <formula>"A"</formula>
    </cfRule>
    <cfRule type="cellIs" dxfId="105" priority="106" operator="equal">
      <formula>"P"</formula>
    </cfRule>
    <cfRule type="expression" dxfId="104" priority="107">
      <formula>C$11="H"</formula>
    </cfRule>
    <cfRule type="expression" dxfId="103" priority="108">
      <formula>C$9="SUN"</formula>
    </cfRule>
  </conditionalFormatting>
  <conditionalFormatting sqref="C20:L20">
    <cfRule type="notContainsBlanks" dxfId="102" priority="99">
      <formula>LEN(TRIM(C20))&gt;0</formula>
    </cfRule>
    <cfRule type="cellIs" dxfId="101" priority="100" operator="equal">
      <formula>"A"</formula>
    </cfRule>
    <cfRule type="cellIs" dxfId="100" priority="101" operator="equal">
      <formula>"P"</formula>
    </cfRule>
    <cfRule type="expression" dxfId="99" priority="102">
      <formula>C$11="H"</formula>
    </cfRule>
    <cfRule type="expression" dxfId="98" priority="103">
      <formula>C$9="SUN"</formula>
    </cfRule>
  </conditionalFormatting>
  <conditionalFormatting sqref="C22:L28">
    <cfRule type="notContainsBlanks" dxfId="97" priority="94">
      <formula>LEN(TRIM(C22))&gt;0</formula>
    </cfRule>
    <cfRule type="cellIs" dxfId="96" priority="95" operator="equal">
      <formula>"A"</formula>
    </cfRule>
    <cfRule type="cellIs" dxfId="95" priority="96" operator="equal">
      <formula>"P"</formula>
    </cfRule>
    <cfRule type="expression" dxfId="94" priority="97">
      <formula>C$11="H"</formula>
    </cfRule>
    <cfRule type="expression" dxfId="93" priority="98">
      <formula>C$9="SUN"</formula>
    </cfRule>
  </conditionalFormatting>
  <conditionalFormatting sqref="C29:L32">
    <cfRule type="notContainsBlanks" dxfId="92" priority="89">
      <formula>LEN(TRIM(C29))&gt;0</formula>
    </cfRule>
    <cfRule type="cellIs" dxfId="91" priority="90" operator="equal">
      <formula>"A"</formula>
    </cfRule>
    <cfRule type="cellIs" dxfId="90" priority="91" operator="equal">
      <formula>"P"</formula>
    </cfRule>
    <cfRule type="expression" dxfId="89" priority="92">
      <formula>C$11="H"</formula>
    </cfRule>
    <cfRule type="expression" dxfId="88" priority="93">
      <formula>C$9="SUN"</formula>
    </cfRule>
  </conditionalFormatting>
  <conditionalFormatting sqref="C34:L37">
    <cfRule type="notContainsBlanks" dxfId="87" priority="84">
      <formula>LEN(TRIM(C34))&gt;0</formula>
    </cfRule>
    <cfRule type="cellIs" dxfId="86" priority="85" operator="equal">
      <formula>"A"</formula>
    </cfRule>
    <cfRule type="cellIs" dxfId="85" priority="86" operator="equal">
      <formula>"P"</formula>
    </cfRule>
    <cfRule type="expression" dxfId="84" priority="87">
      <formula>C$11="H"</formula>
    </cfRule>
    <cfRule type="expression" dxfId="83" priority="88">
      <formula>C$9="SUN"</formula>
    </cfRule>
  </conditionalFormatting>
  <conditionalFormatting sqref="C38:L39">
    <cfRule type="notContainsBlanks" dxfId="82" priority="79">
      <formula>LEN(TRIM(C38))&gt;0</formula>
    </cfRule>
    <cfRule type="cellIs" dxfId="81" priority="80" operator="equal">
      <formula>"A"</formula>
    </cfRule>
    <cfRule type="cellIs" dxfId="80" priority="81" operator="equal">
      <formula>"P"</formula>
    </cfRule>
    <cfRule type="expression" dxfId="79" priority="82">
      <formula>C$11="H"</formula>
    </cfRule>
    <cfRule type="expression" dxfId="78" priority="83">
      <formula>C$9="SUN"</formula>
    </cfRule>
  </conditionalFormatting>
  <conditionalFormatting sqref="C40:L43">
    <cfRule type="notContainsBlanks" dxfId="77" priority="74">
      <formula>LEN(TRIM(C40))&gt;0</formula>
    </cfRule>
    <cfRule type="cellIs" dxfId="76" priority="75" operator="equal">
      <formula>"A"</formula>
    </cfRule>
    <cfRule type="cellIs" dxfId="75" priority="76" operator="equal">
      <formula>"P"</formula>
    </cfRule>
    <cfRule type="expression" dxfId="74" priority="77">
      <formula>C$11="H"</formula>
    </cfRule>
    <cfRule type="expression" dxfId="73" priority="78">
      <formula>C$9="SUN"</formula>
    </cfRule>
  </conditionalFormatting>
  <conditionalFormatting sqref="C45:L50">
    <cfRule type="notContainsBlanks" dxfId="72" priority="69">
      <formula>LEN(TRIM(C45))&gt;0</formula>
    </cfRule>
    <cfRule type="cellIs" dxfId="71" priority="70" operator="equal">
      <formula>"A"</formula>
    </cfRule>
    <cfRule type="cellIs" dxfId="70" priority="71" operator="equal">
      <formula>"P"</formula>
    </cfRule>
    <cfRule type="expression" dxfId="69" priority="72">
      <formula>C$11="H"</formula>
    </cfRule>
    <cfRule type="expression" dxfId="68" priority="73">
      <formula>C$9="SUN"</formula>
    </cfRule>
  </conditionalFormatting>
  <conditionalFormatting sqref="C52:L53">
    <cfRule type="notContainsBlanks" dxfId="67" priority="64">
      <formula>LEN(TRIM(C52))&gt;0</formula>
    </cfRule>
    <cfRule type="cellIs" dxfId="66" priority="65" operator="equal">
      <formula>"A"</formula>
    </cfRule>
    <cfRule type="cellIs" dxfId="65" priority="66" operator="equal">
      <formula>"P"</formula>
    </cfRule>
    <cfRule type="expression" dxfId="64" priority="67">
      <formula>C$11="H"</formula>
    </cfRule>
    <cfRule type="expression" dxfId="63" priority="68">
      <formula>C$9="SUN"</formula>
    </cfRule>
  </conditionalFormatting>
  <conditionalFormatting sqref="F55:L55">
    <cfRule type="notContainsBlanks" dxfId="62" priority="59">
      <formula>LEN(TRIM(F55))&gt;0</formula>
    </cfRule>
    <cfRule type="cellIs" dxfId="61" priority="60" operator="equal">
      <formula>"A"</formula>
    </cfRule>
    <cfRule type="cellIs" dxfId="60" priority="61" operator="equal">
      <formula>"P"</formula>
    </cfRule>
    <cfRule type="expression" dxfId="59" priority="62">
      <formula>F$11="H"</formula>
    </cfRule>
    <cfRule type="expression" dxfId="58" priority="63">
      <formula>F$9="SUN"</formula>
    </cfRule>
  </conditionalFormatting>
  <conditionalFormatting sqref="C54:E54 C51:E51">
    <cfRule type="notContainsBlanks" dxfId="57" priority="49">
      <formula>LEN(TRIM(C51))&gt;0</formula>
    </cfRule>
    <cfRule type="cellIs" dxfId="56" priority="50" operator="equal">
      <formula>"A"</formula>
    </cfRule>
    <cfRule type="cellIs" dxfId="55" priority="51" operator="equal">
      <formula>"P"</formula>
    </cfRule>
    <cfRule type="expression" dxfId="54" priority="52">
      <formula>C$11="H"</formula>
    </cfRule>
    <cfRule type="expression" dxfId="53" priority="53">
      <formula>C$9="SUN"</formula>
    </cfRule>
  </conditionalFormatting>
  <conditionalFormatting sqref="C55:E55">
    <cfRule type="notContainsBlanks" dxfId="52" priority="44">
      <formula>LEN(TRIM(C55))&gt;0</formula>
    </cfRule>
    <cfRule type="cellIs" dxfId="51" priority="45" operator="equal">
      <formula>"A"</formula>
    </cfRule>
    <cfRule type="cellIs" dxfId="50" priority="46" operator="equal">
      <formula>"P"</formula>
    </cfRule>
    <cfRule type="expression" dxfId="49" priority="47">
      <formula>C$11="H"</formula>
    </cfRule>
    <cfRule type="expression" dxfId="48" priority="48">
      <formula>C$9="SUN"</formula>
    </cfRule>
  </conditionalFormatting>
  <conditionalFormatting sqref="J51:L51">
    <cfRule type="notContainsBlanks" dxfId="47" priority="39">
      <formula>LEN(TRIM(J51))&gt;0</formula>
    </cfRule>
    <cfRule type="cellIs" dxfId="46" priority="40" operator="equal">
      <formula>"A"</formula>
    </cfRule>
    <cfRule type="cellIs" dxfId="45" priority="41" operator="equal">
      <formula>"P"</formula>
    </cfRule>
    <cfRule type="expression" dxfId="44" priority="42">
      <formula>J$11="H"</formula>
    </cfRule>
    <cfRule type="expression" dxfId="43" priority="43">
      <formula>J$9="SUN"</formula>
    </cfRule>
  </conditionalFormatting>
  <conditionalFormatting sqref="J44:L44">
    <cfRule type="notContainsBlanks" dxfId="42" priority="34">
      <formula>LEN(TRIM(J44))&gt;0</formula>
    </cfRule>
    <cfRule type="cellIs" dxfId="41" priority="35" operator="equal">
      <formula>"A"</formula>
    </cfRule>
    <cfRule type="cellIs" dxfId="40" priority="36" operator="equal">
      <formula>"P"</formula>
    </cfRule>
    <cfRule type="expression" dxfId="39" priority="37">
      <formula>J$11="H"</formula>
    </cfRule>
    <cfRule type="expression" dxfId="38" priority="38">
      <formula>J$9="SUN"</formula>
    </cfRule>
  </conditionalFormatting>
  <conditionalFormatting sqref="C44:E44">
    <cfRule type="notContainsBlanks" dxfId="37" priority="29">
      <formula>LEN(TRIM(C44))&gt;0</formula>
    </cfRule>
    <cfRule type="cellIs" dxfId="36" priority="30" operator="equal">
      <formula>"A"</formula>
    </cfRule>
    <cfRule type="cellIs" dxfId="35" priority="31" operator="equal">
      <formula>"P"</formula>
    </cfRule>
    <cfRule type="expression" dxfId="34" priority="32">
      <formula>C$11="H"</formula>
    </cfRule>
    <cfRule type="expression" dxfId="33" priority="33">
      <formula>C$9="SUN"</formula>
    </cfRule>
  </conditionalFormatting>
  <conditionalFormatting sqref="J54:L54">
    <cfRule type="notContainsBlanks" dxfId="32" priority="24">
      <formula>LEN(TRIM(J54))&gt;0</formula>
    </cfRule>
    <cfRule type="cellIs" dxfId="31" priority="25" operator="equal">
      <formula>"A"</formula>
    </cfRule>
    <cfRule type="cellIs" dxfId="30" priority="26" operator="equal">
      <formula>"P"</formula>
    </cfRule>
    <cfRule type="expression" dxfId="29" priority="27">
      <formula>J$11="H"</formula>
    </cfRule>
    <cfRule type="expression" dxfId="28" priority="28">
      <formula>J$9="SUN"</formula>
    </cfRule>
  </conditionalFormatting>
  <conditionalFormatting sqref="C33:E33">
    <cfRule type="notContainsBlanks" dxfId="27" priority="19">
      <formula>LEN(TRIM(C33))&gt;0</formula>
    </cfRule>
    <cfRule type="cellIs" dxfId="26" priority="20" operator="equal">
      <formula>"A"</formula>
    </cfRule>
    <cfRule type="cellIs" dxfId="25" priority="21" operator="equal">
      <formula>"P"</formula>
    </cfRule>
    <cfRule type="expression" dxfId="24" priority="22">
      <formula>C$11="H"</formula>
    </cfRule>
    <cfRule type="expression" dxfId="23" priority="23">
      <formula>C$9="SUN"</formula>
    </cfRule>
  </conditionalFormatting>
  <conditionalFormatting sqref="J33:L33">
    <cfRule type="notContainsBlanks" dxfId="22" priority="14">
      <formula>LEN(TRIM(J33))&gt;0</formula>
    </cfRule>
    <cfRule type="cellIs" dxfId="21" priority="15" operator="equal">
      <formula>"A"</formula>
    </cfRule>
    <cfRule type="cellIs" dxfId="20" priority="16" operator="equal">
      <formula>"P"</formula>
    </cfRule>
    <cfRule type="expression" dxfId="19" priority="17">
      <formula>J$11="H"</formula>
    </cfRule>
    <cfRule type="expression" dxfId="18" priority="18">
      <formula>J$9="SUN"</formula>
    </cfRule>
  </conditionalFormatting>
  <conditionalFormatting sqref="C21:E21">
    <cfRule type="notContainsBlanks" dxfId="17" priority="9">
      <formula>LEN(TRIM(C21))&gt;0</formula>
    </cfRule>
    <cfRule type="cellIs" dxfId="16" priority="10" operator="equal">
      <formula>"A"</formula>
    </cfRule>
    <cfRule type="cellIs" dxfId="15" priority="11" operator="equal">
      <formula>"P"</formula>
    </cfRule>
    <cfRule type="expression" dxfId="14" priority="12">
      <formula>C$11="H"</formula>
    </cfRule>
    <cfRule type="expression" dxfId="13" priority="13">
      <formula>C$9="SUN"</formula>
    </cfRule>
  </conditionalFormatting>
  <conditionalFormatting sqref="J21:L21">
    <cfRule type="notContainsBlanks" dxfId="12" priority="4">
      <formula>LEN(TRIM(J21))&gt;0</formula>
    </cfRule>
    <cfRule type="cellIs" dxfId="11" priority="5" operator="equal">
      <formula>"A"</formula>
    </cfRule>
    <cfRule type="cellIs" dxfId="10" priority="6" operator="equal">
      <formula>"P"</formula>
    </cfRule>
    <cfRule type="expression" dxfId="9" priority="7">
      <formula>J$11="H"</formula>
    </cfRule>
    <cfRule type="expression" dxfId="8" priority="8">
      <formula>J$9="SUN"</formula>
    </cfRule>
  </conditionalFormatting>
  <conditionalFormatting sqref="C11:FX55">
    <cfRule type="expression" dxfId="7" priority="127">
      <formula>C$11="CO"</formula>
    </cfRule>
  </conditionalFormatting>
  <dataValidations count="1">
    <dataValidation type="list" allowBlank="1" showInputMessage="1" showErrorMessage="1" sqref="C11:FX55" xr:uid="{19A9F1D2-9429-4B15-906B-D2E8559FED81}">
      <formula1>"P,A,CO"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221C34-1C5D-4311-93EA-A607E84709B3}">
          <x14:formula1>
            <xm:f>Sheet1!$A$2:$A$13</xm:f>
          </x14:formula1>
          <xm:sqref>M5:N6 V5:W6</xm:sqref>
        </x14:dataValidation>
        <x14:dataValidation type="list" allowBlank="1" showInputMessage="1" showErrorMessage="1" xr:uid="{47DAA878-9AA5-42B5-BDD1-B39F58A48B9B}">
          <x14:formula1>
            <xm:f>Sheet1!$B$2:$B$13</xm:f>
          </x14:formula1>
          <xm:sqref>M3:N4 V3:W4</xm:sqref>
        </x14:dataValidation>
        <x14:dataValidation type="list" allowBlank="1" showInputMessage="1" showErrorMessage="1" xr:uid="{D18CF65A-3CE6-4A32-BCB4-B0AFBE8552B8}">
          <x14:formula1>
            <xm:f>Sheet1!$C$2:$C$32</xm:f>
          </x14:formula1>
          <xm:sqref>Q3:R4</xm:sqref>
        </x14:dataValidation>
        <x14:dataValidation type="list" allowBlank="1" showInputMessage="1" showErrorMessage="1" xr:uid="{B7DD562B-7337-4C1A-B4ED-8BDD6257CE63}">
          <x14:formula1>
            <xm:f>Sheet1!$D$2:$D$32</xm:f>
          </x14:formula1>
          <xm:sqref>Z3:AA4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CE26-6A1E-41BC-BD63-C0B3BE7312BF}">
  <dimension ref="A1:G46"/>
  <sheetViews>
    <sheetView showGridLines="0" tabSelected="1" workbookViewId="0">
      <selection activeCell="L21" sqref="L21"/>
    </sheetView>
  </sheetViews>
  <sheetFormatPr defaultColWidth="9.140625" defaultRowHeight="15"/>
  <cols>
    <col min="1" max="1" width="9.28515625" bestFit="1" customWidth="1"/>
    <col min="2" max="2" width="21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7109375" style="41" bestFit="1" customWidth="1"/>
    <col min="7" max="7" width="12.7109375" style="42" bestFit="1" customWidth="1"/>
  </cols>
  <sheetData>
    <row r="1" spans="1:7">
      <c r="A1" t="s">
        <v>72</v>
      </c>
      <c r="B1" t="s">
        <v>73</v>
      </c>
      <c r="C1" t="s">
        <v>74</v>
      </c>
      <c r="D1" t="s">
        <v>75</v>
      </c>
      <c r="E1" t="s">
        <v>76</v>
      </c>
      <c r="F1" s="41" t="s">
        <v>77</v>
      </c>
      <c r="G1" s="42" t="s">
        <v>78</v>
      </c>
    </row>
    <row r="2" spans="1:7">
      <c r="A2">
        <v>1</v>
      </c>
      <c r="B2" t="s">
        <v>22</v>
      </c>
      <c r="C2">
        <f>'INDIVIDUAL ST DASHBOARD '!$C$11</f>
        <v>9</v>
      </c>
      <c r="D2">
        <f>COUNTIF(_xlfn.XLOOKUP(B2,'ATTENDANCE REGI'!B11:B55,'ATTENDANCE REGI'!C11:DR55,"NO DATA",0,1),"P")</f>
        <v>6</v>
      </c>
      <c r="E2">
        <f>C2-D2</f>
        <v>3</v>
      </c>
      <c r="F2" s="41">
        <f>D2/(D2+E2)</f>
        <v>0.66666666666666663</v>
      </c>
      <c r="G2" s="42" t="str" cm="1">
        <f t="array" ref="G2">_xlfn.IFS(Table2[[#This Row],[%]]&gt;=75%,"REGULAR",Table2[[#This Row],[%]]&lt;=49%,"IRREGULAR",75%&gt;Table2[[#This Row],[%]]&gt;49%,"AVERAGE ATT")</f>
        <v>AVERAGE ATT</v>
      </c>
    </row>
    <row r="3" spans="1:7">
      <c r="A3">
        <f>A2+1</f>
        <v>2</v>
      </c>
      <c r="B3" t="s">
        <v>26</v>
      </c>
      <c r="C3">
        <f>'INDIVIDUAL ST DASHBOARD '!$C$11</f>
        <v>9</v>
      </c>
      <c r="D3">
        <f>COUNTIF(_xlfn.XLOOKUP(B3,'ATTENDANCE REGI'!B12:B56,'ATTENDANCE REGI'!C12:DR56,"NO DATA",0,1),"P")</f>
        <v>9</v>
      </c>
      <c r="E3">
        <f t="shared" ref="E3:E46" si="0">C3-D3</f>
        <v>0</v>
      </c>
      <c r="F3" s="41">
        <f t="shared" ref="F3:F46" si="1">D3/(D3+E3)</f>
        <v>1</v>
      </c>
      <c r="G3" s="42" t="str" cm="1">
        <f t="array" ref="G3">_xlfn.IFS(Table2[[#This Row],[%]]&gt;=75%,"REGULAR",Table2[[#This Row],[%]]&lt;=49%,"IRREGULAR",75%&gt;Table2[[#This Row],[%]]&gt;49%,"AVERAGE ATT")</f>
        <v>REGULAR</v>
      </c>
    </row>
    <row r="4" spans="1:7">
      <c r="A4">
        <f>A3+1</f>
        <v>3</v>
      </c>
      <c r="B4" t="s">
        <v>27</v>
      </c>
      <c r="C4">
        <f>'INDIVIDUAL ST DASHBOARD '!$C$11</f>
        <v>9</v>
      </c>
      <c r="D4">
        <f>COUNTIF(_xlfn.XLOOKUP(B4,'ATTENDANCE REGI'!B13:B61,'ATTENDANCE REGI'!C13:DR61,"NO DATA",0,1),"P")</f>
        <v>6</v>
      </c>
      <c r="E4">
        <f t="shared" si="0"/>
        <v>3</v>
      </c>
      <c r="F4" s="41">
        <f t="shared" si="1"/>
        <v>0.66666666666666663</v>
      </c>
      <c r="G4" s="42" t="str" cm="1">
        <f t="array" ref="G4">_xlfn.IFS(Table2[[#This Row],[%]]&gt;=75%,"REGULAR",Table2[[#This Row],[%]]&lt;=49%,"IRREGULAR",75%&gt;Table2[[#This Row],[%]]&gt;49%,"AVERAGE ATT")</f>
        <v>AVERAGE ATT</v>
      </c>
    </row>
    <row r="5" spans="1:7">
      <c r="A5">
        <f t="shared" ref="A5:A46" si="2">A4+1</f>
        <v>4</v>
      </c>
      <c r="B5" t="s">
        <v>28</v>
      </c>
      <c r="C5">
        <f>'INDIVIDUAL ST DASHBOARD '!$C$11</f>
        <v>9</v>
      </c>
      <c r="D5">
        <f>COUNTIF(_xlfn.XLOOKUP(B5,'ATTENDANCE REGI'!B14:B57,'ATTENDANCE REGI'!C14:DR57,"NO DATA",0,1),"P")</f>
        <v>0</v>
      </c>
      <c r="E5">
        <f t="shared" si="0"/>
        <v>9</v>
      </c>
      <c r="F5" s="41">
        <f t="shared" si="1"/>
        <v>0</v>
      </c>
      <c r="G5" s="42" t="str" cm="1">
        <f t="array" ref="G5">_xlfn.IFS(Table2[[#This Row],[%]]&gt;=75%,"REGULAR",Table2[[#This Row],[%]]&lt;=49%,"IRREGULAR",75%&gt;Table2[[#This Row],[%]]&gt;49%,"AVERAGE ATT")</f>
        <v>IRREGULAR</v>
      </c>
    </row>
    <row r="6" spans="1:7">
      <c r="A6">
        <f t="shared" si="2"/>
        <v>5</v>
      </c>
      <c r="B6" t="s">
        <v>29</v>
      </c>
      <c r="C6">
        <f>'INDIVIDUAL ST DASHBOARD '!$C$11</f>
        <v>9</v>
      </c>
      <c r="D6">
        <f>COUNTIF(_xlfn.XLOOKUP(B6,'ATTENDANCE REGI'!B15:B58,'ATTENDANCE REGI'!C15:DR58,"NO DATA",0,1),"P")</f>
        <v>0</v>
      </c>
      <c r="E6">
        <f t="shared" si="0"/>
        <v>9</v>
      </c>
      <c r="F6" s="41">
        <f t="shared" si="1"/>
        <v>0</v>
      </c>
      <c r="G6" s="42" t="str" cm="1">
        <f t="array" ref="G6">_xlfn.IFS(Table2[[#This Row],[%]]&gt;=75%,"REGULAR",Table2[[#This Row],[%]]&lt;=49%,"IRREGULAR",75%&gt;Table2[[#This Row],[%]]&gt;49%,"AVERAGE ATT")</f>
        <v>IRREGULAR</v>
      </c>
    </row>
    <row r="7" spans="1:7">
      <c r="A7">
        <f t="shared" si="2"/>
        <v>6</v>
      </c>
      <c r="B7" t="s">
        <v>30</v>
      </c>
      <c r="C7">
        <f>'INDIVIDUAL ST DASHBOARD '!$C$11</f>
        <v>9</v>
      </c>
      <c r="D7">
        <f>COUNTIF(_xlfn.XLOOKUP(B7,'ATTENDANCE REGI'!B16:B59,'ATTENDANCE REGI'!C16:DR59,"NO DATA",0,1),"P")</f>
        <v>9</v>
      </c>
      <c r="E7">
        <f t="shared" si="0"/>
        <v>0</v>
      </c>
      <c r="F7" s="41">
        <f t="shared" si="1"/>
        <v>1</v>
      </c>
      <c r="G7" s="42" t="str" cm="1">
        <f t="array" ref="G7">_xlfn.IFS(Table2[[#This Row],[%]]&gt;=75%,"REGULAR",Table2[[#This Row],[%]]&lt;=49%,"IRREGULAR",75%&gt;Table2[[#This Row],[%]]&gt;49%,"AVERAGE ATT")</f>
        <v>REGULAR</v>
      </c>
    </row>
    <row r="8" spans="1:7">
      <c r="A8">
        <f t="shared" si="2"/>
        <v>7</v>
      </c>
      <c r="B8" t="s">
        <v>31</v>
      </c>
      <c r="C8">
        <f>'INDIVIDUAL ST DASHBOARD '!$C$11</f>
        <v>9</v>
      </c>
      <c r="D8">
        <f>COUNTIF(_xlfn.XLOOKUP(B8,'ATTENDANCE REGI'!B17:B60,'ATTENDANCE REGI'!C17:DR60,"NO DATA",0,1),"P")</f>
        <v>4</v>
      </c>
      <c r="E8">
        <f t="shared" si="0"/>
        <v>5</v>
      </c>
      <c r="F8" s="41">
        <f t="shared" si="1"/>
        <v>0.44444444444444442</v>
      </c>
      <c r="G8" s="42" t="str" cm="1">
        <f t="array" ref="G8">_xlfn.IFS(Table2[[#This Row],[%]]&gt;=75%,"REGULAR",Table2[[#This Row],[%]]&lt;=49%,"IRREGULAR",75%&gt;Table2[[#This Row],[%]]&gt;49%,"AVERAGE ATT")</f>
        <v>IRREGULAR</v>
      </c>
    </row>
    <row r="9" spans="1:7">
      <c r="A9">
        <f t="shared" si="2"/>
        <v>8</v>
      </c>
      <c r="B9" t="s">
        <v>32</v>
      </c>
      <c r="C9">
        <f>'INDIVIDUAL ST DASHBOARD '!$C$11</f>
        <v>9</v>
      </c>
      <c r="D9">
        <f>COUNTIF(_xlfn.XLOOKUP(B9,'ATTENDANCE REGI'!B18:B62,'ATTENDANCE REGI'!C18:DR62,"NO DATA",0,1),"P")</f>
        <v>4</v>
      </c>
      <c r="E9">
        <f t="shared" si="0"/>
        <v>5</v>
      </c>
      <c r="F9" s="41">
        <f t="shared" si="1"/>
        <v>0.44444444444444442</v>
      </c>
      <c r="G9" s="42" t="str" cm="1">
        <f t="array" ref="G9">_xlfn.IFS(Table2[[#This Row],[%]]&gt;=75%,"REGULAR",Table2[[#This Row],[%]]&lt;=49%,"IRREGULAR",75%&gt;Table2[[#This Row],[%]]&gt;49%,"AVERAGE ATT")</f>
        <v>IRREGULAR</v>
      </c>
    </row>
    <row r="10" spans="1:7">
      <c r="A10">
        <f t="shared" si="2"/>
        <v>9</v>
      </c>
      <c r="B10" t="s">
        <v>33</v>
      </c>
      <c r="C10">
        <f>'INDIVIDUAL ST DASHBOARD '!$C$11</f>
        <v>9</v>
      </c>
      <c r="D10">
        <f>COUNTIF(_xlfn.XLOOKUP(B10,'ATTENDANCE REGI'!B19:B63,'ATTENDANCE REGI'!C19:DR63,"NO DATA",0,1),"P")</f>
        <v>9</v>
      </c>
      <c r="E10">
        <f t="shared" si="0"/>
        <v>0</v>
      </c>
      <c r="F10" s="41">
        <f t="shared" si="1"/>
        <v>1</v>
      </c>
      <c r="G10" s="42" t="str" cm="1">
        <f t="array" ref="G10">_xlfn.IFS(Table2[[#This Row],[%]]&gt;=75%,"REGULAR",Table2[[#This Row],[%]]&lt;=49%,"IRREGULAR",75%&gt;Table2[[#This Row],[%]]&gt;49%,"AVERAGE ATT")</f>
        <v>REGULAR</v>
      </c>
    </row>
    <row r="11" spans="1:7">
      <c r="A11">
        <f t="shared" si="2"/>
        <v>10</v>
      </c>
      <c r="B11" t="s">
        <v>34</v>
      </c>
      <c r="C11">
        <f>'INDIVIDUAL ST DASHBOARD '!$C$11</f>
        <v>9</v>
      </c>
      <c r="D11">
        <f>COUNTIF(_xlfn.XLOOKUP(B11,'ATTENDANCE REGI'!B20:B64,'ATTENDANCE REGI'!C20:DR64,"NO DATA",0,1),"P")</f>
        <v>8</v>
      </c>
      <c r="E11">
        <f t="shared" si="0"/>
        <v>1</v>
      </c>
      <c r="F11" s="41">
        <f t="shared" si="1"/>
        <v>0.88888888888888884</v>
      </c>
      <c r="G11" s="42" t="str" cm="1">
        <f t="array" ref="G11">_xlfn.IFS(Table2[[#This Row],[%]]&gt;=75%,"REGULAR",Table2[[#This Row],[%]]&lt;=49%,"IRREGULAR",75%&gt;Table2[[#This Row],[%]]&gt;49%,"AVERAGE ATT")</f>
        <v>REGULAR</v>
      </c>
    </row>
    <row r="12" spans="1:7">
      <c r="A12">
        <f t="shared" si="2"/>
        <v>11</v>
      </c>
      <c r="B12" t="s">
        <v>35</v>
      </c>
      <c r="C12">
        <f>'INDIVIDUAL ST DASHBOARD '!$C$11</f>
        <v>9</v>
      </c>
      <c r="D12">
        <f>COUNTIF(_xlfn.XLOOKUP(B12,'ATTENDANCE REGI'!B21:B65,'ATTENDANCE REGI'!C21:DR65,"NO DATA",0,1),"P")</f>
        <v>0</v>
      </c>
      <c r="E12">
        <f t="shared" si="0"/>
        <v>9</v>
      </c>
      <c r="F12" s="41">
        <f t="shared" si="1"/>
        <v>0</v>
      </c>
      <c r="G12" s="42" t="str" cm="1">
        <f t="array" ref="G12">_xlfn.IFS(Table2[[#This Row],[%]]&gt;=75%,"REGULAR",Table2[[#This Row],[%]]&lt;=49%,"IRREGULAR",75%&gt;Table2[[#This Row],[%]]&gt;49%,"AVERAGE ATT")</f>
        <v>IRREGULAR</v>
      </c>
    </row>
    <row r="13" spans="1:7">
      <c r="A13">
        <f t="shared" si="2"/>
        <v>12</v>
      </c>
      <c r="B13" t="s">
        <v>36</v>
      </c>
      <c r="C13">
        <f>'INDIVIDUAL ST DASHBOARD '!$C$11</f>
        <v>9</v>
      </c>
      <c r="D13">
        <f>COUNTIF(_xlfn.XLOOKUP(B13,'ATTENDANCE REGI'!B22:B66,'ATTENDANCE REGI'!C22:DR66,"NO DATA",0,1),"P")</f>
        <v>7</v>
      </c>
      <c r="E13">
        <f t="shared" si="0"/>
        <v>2</v>
      </c>
      <c r="F13" s="41">
        <f t="shared" si="1"/>
        <v>0.77777777777777779</v>
      </c>
      <c r="G13" s="42" t="str" cm="1">
        <f t="array" ref="G13">_xlfn.IFS(Table2[[#This Row],[%]]&gt;=75%,"REGULAR",Table2[[#This Row],[%]]&lt;=49%,"IRREGULAR",75%&gt;Table2[[#This Row],[%]]&gt;49%,"AVERAGE ATT")</f>
        <v>REGULAR</v>
      </c>
    </row>
    <row r="14" spans="1:7">
      <c r="A14">
        <f t="shared" si="2"/>
        <v>13</v>
      </c>
      <c r="B14" t="s">
        <v>37</v>
      </c>
      <c r="C14">
        <f>'INDIVIDUAL ST DASHBOARD '!$C$11</f>
        <v>9</v>
      </c>
      <c r="D14">
        <f>COUNTIF(_xlfn.XLOOKUP(B14,'ATTENDANCE REGI'!B23:B67,'ATTENDANCE REGI'!C23:DR67,"NO DATA",0,1),"P")</f>
        <v>8</v>
      </c>
      <c r="E14">
        <f t="shared" si="0"/>
        <v>1</v>
      </c>
      <c r="F14" s="41">
        <f t="shared" si="1"/>
        <v>0.88888888888888884</v>
      </c>
      <c r="G14" s="42" t="str" cm="1">
        <f t="array" ref="G14">_xlfn.IFS(Table2[[#This Row],[%]]&gt;=75%,"REGULAR",Table2[[#This Row],[%]]&lt;=49%,"IRREGULAR",75%&gt;Table2[[#This Row],[%]]&gt;49%,"AVERAGE ATT")</f>
        <v>REGULAR</v>
      </c>
    </row>
    <row r="15" spans="1:7">
      <c r="A15">
        <f t="shared" si="2"/>
        <v>14</v>
      </c>
      <c r="B15" t="s">
        <v>38</v>
      </c>
      <c r="C15">
        <f>'INDIVIDUAL ST DASHBOARD '!$C$11</f>
        <v>9</v>
      </c>
      <c r="D15">
        <f>COUNTIF(_xlfn.XLOOKUP(B15,'ATTENDANCE REGI'!B24:B68,'ATTENDANCE REGI'!C24:DR68,"NO DATA",0,1),"P")</f>
        <v>5</v>
      </c>
      <c r="E15">
        <f t="shared" si="0"/>
        <v>4</v>
      </c>
      <c r="F15" s="41">
        <f t="shared" si="1"/>
        <v>0.55555555555555558</v>
      </c>
      <c r="G15" s="42" t="str" cm="1">
        <f t="array" ref="G15">_xlfn.IFS(Table2[[#This Row],[%]]&gt;=75%,"REGULAR",Table2[[#This Row],[%]]&lt;=49%,"IRREGULAR",75%&gt;Table2[[#This Row],[%]]&gt;49%,"AVERAGE ATT")</f>
        <v>AVERAGE ATT</v>
      </c>
    </row>
    <row r="16" spans="1:7">
      <c r="A16">
        <f t="shared" si="2"/>
        <v>15</v>
      </c>
      <c r="B16" t="s">
        <v>39</v>
      </c>
      <c r="C16">
        <f>'INDIVIDUAL ST DASHBOARD '!$C$11</f>
        <v>9</v>
      </c>
      <c r="D16">
        <f>COUNTIF(_xlfn.XLOOKUP(B16,'ATTENDANCE REGI'!B25:B69,'ATTENDANCE REGI'!C25:DR69,"NO DATA",0,1),"P")</f>
        <v>6</v>
      </c>
      <c r="E16">
        <f t="shared" si="0"/>
        <v>3</v>
      </c>
      <c r="F16" s="41">
        <f t="shared" si="1"/>
        <v>0.66666666666666663</v>
      </c>
      <c r="G16" s="42" t="str" cm="1">
        <f t="array" ref="G16">_xlfn.IFS(Table2[[#This Row],[%]]&gt;=75%,"REGULAR",Table2[[#This Row],[%]]&lt;=49%,"IRREGULAR",75%&gt;Table2[[#This Row],[%]]&gt;49%,"AVERAGE ATT")</f>
        <v>AVERAGE ATT</v>
      </c>
    </row>
    <row r="17" spans="1:7">
      <c r="A17">
        <f t="shared" si="2"/>
        <v>16</v>
      </c>
      <c r="B17" t="s">
        <v>40</v>
      </c>
      <c r="C17">
        <f>'INDIVIDUAL ST DASHBOARD '!$C$11</f>
        <v>9</v>
      </c>
      <c r="D17">
        <f>COUNTIF(_xlfn.XLOOKUP(B17,'ATTENDANCE REGI'!B26:B70,'ATTENDANCE REGI'!C26:DR70,"NO DATA",0,1),"P")</f>
        <v>5</v>
      </c>
      <c r="E17">
        <f t="shared" si="0"/>
        <v>4</v>
      </c>
      <c r="F17" s="41">
        <f t="shared" si="1"/>
        <v>0.55555555555555558</v>
      </c>
      <c r="G17" s="42" t="str" cm="1">
        <f t="array" ref="G17">_xlfn.IFS(Table2[[#This Row],[%]]&gt;=75%,"REGULAR",Table2[[#This Row],[%]]&lt;=49%,"IRREGULAR",75%&gt;Table2[[#This Row],[%]]&gt;49%,"AVERAGE ATT")</f>
        <v>AVERAGE ATT</v>
      </c>
    </row>
    <row r="18" spans="1:7">
      <c r="A18">
        <f t="shared" si="2"/>
        <v>17</v>
      </c>
      <c r="B18" t="s">
        <v>41</v>
      </c>
      <c r="C18">
        <f>'INDIVIDUAL ST DASHBOARD '!$C$11</f>
        <v>9</v>
      </c>
      <c r="D18">
        <f>COUNTIF(_xlfn.XLOOKUP(B18,'ATTENDANCE REGI'!B27:B71,'ATTENDANCE REGI'!C27:DR71,"NO DATA",0,1),"P")</f>
        <v>3</v>
      </c>
      <c r="E18">
        <f t="shared" si="0"/>
        <v>6</v>
      </c>
      <c r="F18" s="41">
        <f t="shared" si="1"/>
        <v>0.33333333333333331</v>
      </c>
      <c r="G18" s="42" t="str" cm="1">
        <f t="array" ref="G18">_xlfn.IFS(Table2[[#This Row],[%]]&gt;=75%,"REGULAR",Table2[[#This Row],[%]]&lt;=49%,"IRREGULAR",75%&gt;Table2[[#This Row],[%]]&gt;49%,"AVERAGE ATT")</f>
        <v>IRREGULAR</v>
      </c>
    </row>
    <row r="19" spans="1:7">
      <c r="A19">
        <f t="shared" si="2"/>
        <v>18</v>
      </c>
      <c r="B19" t="s">
        <v>42</v>
      </c>
      <c r="C19">
        <f>'INDIVIDUAL ST DASHBOARD '!$C$11</f>
        <v>9</v>
      </c>
      <c r="D19">
        <f>COUNTIF(_xlfn.XLOOKUP(B19,'ATTENDANCE REGI'!B28:B72,'ATTENDANCE REGI'!C28:DR72,"NO DATA",0,1),"P")</f>
        <v>2</v>
      </c>
      <c r="E19">
        <f t="shared" si="0"/>
        <v>7</v>
      </c>
      <c r="F19" s="41">
        <f t="shared" si="1"/>
        <v>0.22222222222222221</v>
      </c>
      <c r="G19" s="42" t="str" cm="1">
        <f t="array" ref="G19">_xlfn.IFS(Table2[[#This Row],[%]]&gt;=75%,"REGULAR",Table2[[#This Row],[%]]&lt;=49%,"IRREGULAR",75%&gt;Table2[[#This Row],[%]]&gt;49%,"AVERAGE ATT")</f>
        <v>IRREGULAR</v>
      </c>
    </row>
    <row r="20" spans="1:7">
      <c r="A20">
        <f t="shared" si="2"/>
        <v>19</v>
      </c>
      <c r="B20" t="s">
        <v>43</v>
      </c>
      <c r="C20">
        <f>'INDIVIDUAL ST DASHBOARD '!$C$11</f>
        <v>9</v>
      </c>
      <c r="D20">
        <f>COUNTIF(_xlfn.XLOOKUP(B20,'ATTENDANCE REGI'!B29:B73,'ATTENDANCE REGI'!C29:DR73,"NO DATA",0,1),"P")</f>
        <v>8</v>
      </c>
      <c r="E20">
        <f t="shared" si="0"/>
        <v>1</v>
      </c>
      <c r="F20" s="41">
        <f t="shared" si="1"/>
        <v>0.88888888888888884</v>
      </c>
      <c r="G20" s="42" t="str" cm="1">
        <f t="array" ref="G20">_xlfn.IFS(Table2[[#This Row],[%]]&gt;=75%,"REGULAR",Table2[[#This Row],[%]]&lt;=49%,"IRREGULAR",75%&gt;Table2[[#This Row],[%]]&gt;49%,"AVERAGE ATT")</f>
        <v>REGULAR</v>
      </c>
    </row>
    <row r="21" spans="1:7">
      <c r="A21">
        <f t="shared" si="2"/>
        <v>20</v>
      </c>
      <c r="B21" t="s">
        <v>44</v>
      </c>
      <c r="C21">
        <f>'INDIVIDUAL ST DASHBOARD '!$C$11</f>
        <v>9</v>
      </c>
      <c r="D21">
        <f>COUNTIF(_xlfn.XLOOKUP(B21,'ATTENDANCE REGI'!B30:B74,'ATTENDANCE REGI'!C30:DR74,"NO DATA",0,1),"P")</f>
        <v>7</v>
      </c>
      <c r="E21">
        <f t="shared" si="0"/>
        <v>2</v>
      </c>
      <c r="F21" s="41">
        <f t="shared" si="1"/>
        <v>0.77777777777777779</v>
      </c>
      <c r="G21" s="42" t="str" cm="1">
        <f t="array" ref="G21">_xlfn.IFS(Table2[[#This Row],[%]]&gt;=75%,"REGULAR",Table2[[#This Row],[%]]&lt;=49%,"IRREGULAR",75%&gt;Table2[[#This Row],[%]]&gt;49%,"AVERAGE ATT")</f>
        <v>REGULAR</v>
      </c>
    </row>
    <row r="22" spans="1:7">
      <c r="A22">
        <f t="shared" si="2"/>
        <v>21</v>
      </c>
      <c r="B22" t="s">
        <v>45</v>
      </c>
      <c r="C22">
        <f>'INDIVIDUAL ST DASHBOARD '!$C$11</f>
        <v>9</v>
      </c>
      <c r="D22">
        <f>COUNTIF(_xlfn.XLOOKUP(B22,'ATTENDANCE REGI'!B31:B75,'ATTENDANCE REGI'!C31:DR75,"NO DATA",0,1),"P")</f>
        <v>3</v>
      </c>
      <c r="E22">
        <f t="shared" si="0"/>
        <v>6</v>
      </c>
      <c r="F22" s="41">
        <f t="shared" si="1"/>
        <v>0.33333333333333331</v>
      </c>
      <c r="G22" s="42" t="str" cm="1">
        <f t="array" ref="G22">_xlfn.IFS(Table2[[#This Row],[%]]&gt;=75%,"REGULAR",Table2[[#This Row],[%]]&lt;=49%,"IRREGULAR",75%&gt;Table2[[#This Row],[%]]&gt;49%,"AVERAGE ATT")</f>
        <v>IRREGULAR</v>
      </c>
    </row>
    <row r="23" spans="1:7">
      <c r="A23">
        <f t="shared" si="2"/>
        <v>22</v>
      </c>
      <c r="B23" t="s">
        <v>46</v>
      </c>
      <c r="C23">
        <f>'INDIVIDUAL ST DASHBOARD '!$C$11</f>
        <v>9</v>
      </c>
      <c r="D23">
        <f>COUNTIF(_xlfn.XLOOKUP(B23,'ATTENDANCE REGI'!B32:B76,'ATTENDANCE REGI'!C32:DR76,"NO DATA",0,1),"P")</f>
        <v>7</v>
      </c>
      <c r="E23">
        <f t="shared" si="0"/>
        <v>2</v>
      </c>
      <c r="F23" s="41">
        <f t="shared" si="1"/>
        <v>0.77777777777777779</v>
      </c>
      <c r="G23" s="42" t="str" cm="1">
        <f t="array" ref="G23">_xlfn.IFS(Table2[[#This Row],[%]]&gt;=75%,"REGULAR",Table2[[#This Row],[%]]&lt;=49%,"IRREGULAR",75%&gt;Table2[[#This Row],[%]]&gt;49%,"AVERAGE ATT")</f>
        <v>REGULAR</v>
      </c>
    </row>
    <row r="24" spans="1:7">
      <c r="A24">
        <f t="shared" si="2"/>
        <v>23</v>
      </c>
      <c r="B24" t="s">
        <v>47</v>
      </c>
      <c r="C24">
        <f>'INDIVIDUAL ST DASHBOARD '!$C$11</f>
        <v>9</v>
      </c>
      <c r="D24">
        <f>COUNTIF(_xlfn.XLOOKUP(B24,'ATTENDANCE REGI'!B33:B77,'ATTENDANCE REGI'!C33:DR77,"NO DATA",0,1),"P")</f>
        <v>0</v>
      </c>
      <c r="E24">
        <f t="shared" si="0"/>
        <v>9</v>
      </c>
      <c r="F24" s="41">
        <f t="shared" si="1"/>
        <v>0</v>
      </c>
      <c r="G24" s="42" t="str" cm="1">
        <f t="array" ref="G24">_xlfn.IFS(Table2[[#This Row],[%]]&gt;=75%,"REGULAR",Table2[[#This Row],[%]]&lt;=49%,"IRREGULAR",75%&gt;Table2[[#This Row],[%]]&gt;49%,"AVERAGE ATT")</f>
        <v>IRREGULAR</v>
      </c>
    </row>
    <row r="25" spans="1:7">
      <c r="A25">
        <f t="shared" si="2"/>
        <v>24</v>
      </c>
      <c r="B25" t="s">
        <v>48</v>
      </c>
      <c r="C25">
        <f>'INDIVIDUAL ST DASHBOARD '!$C$11</f>
        <v>9</v>
      </c>
      <c r="D25">
        <f>COUNTIF(_xlfn.XLOOKUP(B25,'ATTENDANCE REGI'!B34:B78,'ATTENDANCE REGI'!C34:DR78,"NO DATA",0,1),"P")</f>
        <v>8</v>
      </c>
      <c r="E25">
        <f t="shared" si="0"/>
        <v>1</v>
      </c>
      <c r="F25" s="41">
        <f t="shared" si="1"/>
        <v>0.88888888888888884</v>
      </c>
      <c r="G25" s="42" t="str" cm="1">
        <f t="array" ref="G25">_xlfn.IFS(Table2[[#This Row],[%]]&gt;=75%,"REGULAR",Table2[[#This Row],[%]]&lt;=49%,"IRREGULAR",75%&gt;Table2[[#This Row],[%]]&gt;49%,"AVERAGE ATT")</f>
        <v>REGULAR</v>
      </c>
    </row>
    <row r="26" spans="1:7">
      <c r="A26">
        <f t="shared" si="2"/>
        <v>25</v>
      </c>
      <c r="B26" t="s">
        <v>49</v>
      </c>
      <c r="C26">
        <f>'INDIVIDUAL ST DASHBOARD '!$C$11</f>
        <v>9</v>
      </c>
      <c r="D26">
        <f>COUNTIF(_xlfn.XLOOKUP(B26,'ATTENDANCE REGI'!B35:B79,'ATTENDANCE REGI'!C35:DR79,"NO DATA",0,1),"P")</f>
        <v>6</v>
      </c>
      <c r="E26">
        <f t="shared" si="0"/>
        <v>3</v>
      </c>
      <c r="F26" s="41">
        <f t="shared" si="1"/>
        <v>0.66666666666666663</v>
      </c>
      <c r="G26" s="42" t="str" cm="1">
        <f t="array" ref="G26">_xlfn.IFS(Table2[[#This Row],[%]]&gt;=75%,"REGULAR",Table2[[#This Row],[%]]&lt;=49%,"IRREGULAR",75%&gt;Table2[[#This Row],[%]]&gt;49%,"AVERAGE ATT")</f>
        <v>AVERAGE ATT</v>
      </c>
    </row>
    <row r="27" spans="1:7">
      <c r="A27">
        <f t="shared" si="2"/>
        <v>26</v>
      </c>
      <c r="B27" t="s">
        <v>50</v>
      </c>
      <c r="C27">
        <f>'INDIVIDUAL ST DASHBOARD '!$C$11</f>
        <v>9</v>
      </c>
      <c r="D27">
        <f>COUNTIF(_xlfn.XLOOKUP(B27,'ATTENDANCE REGI'!B36:B80,'ATTENDANCE REGI'!C36:DR80,"NO DATA",0,1),"P")</f>
        <v>5</v>
      </c>
      <c r="E27">
        <f t="shared" si="0"/>
        <v>4</v>
      </c>
      <c r="F27" s="41">
        <f t="shared" si="1"/>
        <v>0.55555555555555558</v>
      </c>
      <c r="G27" s="42" t="str" cm="1">
        <f t="array" ref="G27">_xlfn.IFS(Table2[[#This Row],[%]]&gt;=75%,"REGULAR",Table2[[#This Row],[%]]&lt;=49%,"IRREGULAR",75%&gt;Table2[[#This Row],[%]]&gt;49%,"AVERAGE ATT")</f>
        <v>AVERAGE ATT</v>
      </c>
    </row>
    <row r="28" spans="1:7">
      <c r="A28">
        <f t="shared" si="2"/>
        <v>27</v>
      </c>
      <c r="B28" t="s">
        <v>51</v>
      </c>
      <c r="C28">
        <f>'INDIVIDUAL ST DASHBOARD '!$C$11</f>
        <v>9</v>
      </c>
      <c r="D28">
        <f>COUNTIF(_xlfn.XLOOKUP(B28,'ATTENDANCE REGI'!B37:B81,'ATTENDANCE REGI'!C37:DR81,"NO DATA",0,1),"P")</f>
        <v>6</v>
      </c>
      <c r="E28">
        <f t="shared" si="0"/>
        <v>3</v>
      </c>
      <c r="F28" s="41">
        <f t="shared" si="1"/>
        <v>0.66666666666666663</v>
      </c>
      <c r="G28" s="42" t="str" cm="1">
        <f t="array" ref="G28">_xlfn.IFS(Table2[[#This Row],[%]]&gt;=75%,"REGULAR",Table2[[#This Row],[%]]&lt;=49%,"IRREGULAR",75%&gt;Table2[[#This Row],[%]]&gt;49%,"AVERAGE ATT")</f>
        <v>AVERAGE ATT</v>
      </c>
    </row>
    <row r="29" spans="1:7">
      <c r="A29">
        <f t="shared" si="2"/>
        <v>28</v>
      </c>
      <c r="B29" t="s">
        <v>52</v>
      </c>
      <c r="C29">
        <f>'INDIVIDUAL ST DASHBOARD '!$C$11</f>
        <v>9</v>
      </c>
      <c r="D29">
        <f>COUNTIF(_xlfn.XLOOKUP(B29,'ATTENDANCE REGI'!B38:B82,'ATTENDANCE REGI'!C38:DR82,"NO DATA",0,1),"P")</f>
        <v>7</v>
      </c>
      <c r="E29">
        <f t="shared" si="0"/>
        <v>2</v>
      </c>
      <c r="F29" s="41">
        <f t="shared" si="1"/>
        <v>0.77777777777777779</v>
      </c>
      <c r="G29" s="42" t="str" cm="1">
        <f t="array" ref="G29">_xlfn.IFS(Table2[[#This Row],[%]]&gt;=75%,"REGULAR",Table2[[#This Row],[%]]&lt;=49%,"IRREGULAR",75%&gt;Table2[[#This Row],[%]]&gt;49%,"AVERAGE ATT")</f>
        <v>REGULAR</v>
      </c>
    </row>
    <row r="30" spans="1:7">
      <c r="A30">
        <f t="shared" si="2"/>
        <v>29</v>
      </c>
      <c r="B30" t="s">
        <v>53</v>
      </c>
      <c r="C30">
        <f>'INDIVIDUAL ST DASHBOARD '!$C$11</f>
        <v>9</v>
      </c>
      <c r="D30">
        <f>COUNTIF(_xlfn.XLOOKUP(B30,'ATTENDANCE REGI'!B39:B83,'ATTENDANCE REGI'!C39:DR83,"NO DATA",0,1),"P")</f>
        <v>8</v>
      </c>
      <c r="E30">
        <f t="shared" si="0"/>
        <v>1</v>
      </c>
      <c r="F30" s="41">
        <f t="shared" si="1"/>
        <v>0.88888888888888884</v>
      </c>
      <c r="G30" s="42" t="str" cm="1">
        <f t="array" ref="G30">_xlfn.IFS(Table2[[#This Row],[%]]&gt;=75%,"REGULAR",Table2[[#This Row],[%]]&lt;=49%,"IRREGULAR",75%&gt;Table2[[#This Row],[%]]&gt;49%,"AVERAGE ATT")</f>
        <v>REGULAR</v>
      </c>
    </row>
    <row r="31" spans="1:7">
      <c r="A31">
        <f t="shared" si="2"/>
        <v>30</v>
      </c>
      <c r="B31" t="s">
        <v>54</v>
      </c>
      <c r="C31">
        <f>'INDIVIDUAL ST DASHBOARD '!$C$11</f>
        <v>9</v>
      </c>
      <c r="D31">
        <f>COUNTIF(_xlfn.XLOOKUP(B31,'ATTENDANCE REGI'!B40:B84,'ATTENDANCE REGI'!C40:DR84,"NO DATA",0,1),"P")</f>
        <v>4</v>
      </c>
      <c r="E31">
        <f t="shared" si="0"/>
        <v>5</v>
      </c>
      <c r="F31" s="41">
        <f t="shared" si="1"/>
        <v>0.44444444444444442</v>
      </c>
      <c r="G31" s="42" t="str" cm="1">
        <f t="array" ref="G31">_xlfn.IFS(Table2[[#This Row],[%]]&gt;=75%,"REGULAR",Table2[[#This Row],[%]]&lt;=49%,"IRREGULAR",75%&gt;Table2[[#This Row],[%]]&gt;49%,"AVERAGE ATT")</f>
        <v>IRREGULAR</v>
      </c>
    </row>
    <row r="32" spans="1:7">
      <c r="A32">
        <f t="shared" si="2"/>
        <v>31</v>
      </c>
      <c r="B32" t="s">
        <v>55</v>
      </c>
      <c r="C32">
        <f>'INDIVIDUAL ST DASHBOARD '!$C$11</f>
        <v>9</v>
      </c>
      <c r="D32">
        <f>COUNTIF(_xlfn.XLOOKUP(B32,'ATTENDANCE REGI'!B41:B85,'ATTENDANCE REGI'!C41:DR85,"NO DATA",0,1),"P")</f>
        <v>5</v>
      </c>
      <c r="E32">
        <f t="shared" si="0"/>
        <v>4</v>
      </c>
      <c r="F32" s="41">
        <f t="shared" si="1"/>
        <v>0.55555555555555558</v>
      </c>
      <c r="G32" s="42" t="str" cm="1">
        <f t="array" ref="G32">_xlfn.IFS(Table2[[#This Row],[%]]&gt;=75%,"REGULAR",Table2[[#This Row],[%]]&lt;=49%,"IRREGULAR",75%&gt;Table2[[#This Row],[%]]&gt;49%,"AVERAGE ATT")</f>
        <v>AVERAGE ATT</v>
      </c>
    </row>
    <row r="33" spans="1:7">
      <c r="A33">
        <f t="shared" si="2"/>
        <v>32</v>
      </c>
      <c r="B33" t="s">
        <v>56</v>
      </c>
      <c r="C33">
        <f>'INDIVIDUAL ST DASHBOARD '!$C$11</f>
        <v>9</v>
      </c>
      <c r="D33">
        <f>COUNTIF(_xlfn.XLOOKUP(B33,'ATTENDANCE REGI'!B42:B86,'ATTENDANCE REGI'!C42:DR86,"NO DATA",0,1),"P")</f>
        <v>3</v>
      </c>
      <c r="E33">
        <f t="shared" si="0"/>
        <v>6</v>
      </c>
      <c r="F33" s="41">
        <f t="shared" si="1"/>
        <v>0.33333333333333331</v>
      </c>
      <c r="G33" s="42" t="str" cm="1">
        <f t="array" ref="G33">_xlfn.IFS(Table2[[#This Row],[%]]&gt;=75%,"REGULAR",Table2[[#This Row],[%]]&lt;=49%,"IRREGULAR",75%&gt;Table2[[#This Row],[%]]&gt;49%,"AVERAGE ATT")</f>
        <v>IRREGULAR</v>
      </c>
    </row>
    <row r="34" spans="1:7">
      <c r="A34">
        <f t="shared" si="2"/>
        <v>33</v>
      </c>
      <c r="B34" t="s">
        <v>57</v>
      </c>
      <c r="C34">
        <f>'INDIVIDUAL ST DASHBOARD '!$C$11</f>
        <v>9</v>
      </c>
      <c r="D34">
        <f>COUNTIF(_xlfn.XLOOKUP(B34,'ATTENDANCE REGI'!B43:B87,'ATTENDANCE REGI'!C43:DR87,"NO DATA",0,1),"P")</f>
        <v>0</v>
      </c>
      <c r="E34">
        <f t="shared" si="0"/>
        <v>9</v>
      </c>
      <c r="F34" s="41">
        <f t="shared" si="1"/>
        <v>0</v>
      </c>
      <c r="G34" s="42" t="str" cm="1">
        <f t="array" ref="G34">_xlfn.IFS(Table2[[#This Row],[%]]&gt;=75%,"REGULAR",Table2[[#This Row],[%]]&lt;=49%,"IRREGULAR",75%&gt;Table2[[#This Row],[%]]&gt;49%,"AVERAGE ATT")</f>
        <v>IRREGULAR</v>
      </c>
    </row>
    <row r="35" spans="1:7">
      <c r="A35">
        <f t="shared" si="2"/>
        <v>34</v>
      </c>
      <c r="B35" t="s">
        <v>58</v>
      </c>
      <c r="C35">
        <f>'INDIVIDUAL ST DASHBOARD '!$C$11</f>
        <v>9</v>
      </c>
      <c r="D35">
        <f>COUNTIF(_xlfn.XLOOKUP(B35,'ATTENDANCE REGI'!B44:B88,'ATTENDANCE REGI'!C44:DR88,"NO DATA",0,1),"P")</f>
        <v>0</v>
      </c>
      <c r="E35">
        <f t="shared" si="0"/>
        <v>9</v>
      </c>
      <c r="F35" s="41">
        <f t="shared" si="1"/>
        <v>0</v>
      </c>
      <c r="G35" s="42" t="str" cm="1">
        <f t="array" ref="G35">_xlfn.IFS(Table2[[#This Row],[%]]&gt;=75%,"REGULAR",Table2[[#This Row],[%]]&lt;=49%,"IRREGULAR",75%&gt;Table2[[#This Row],[%]]&gt;49%,"AVERAGE ATT")</f>
        <v>IRREGULAR</v>
      </c>
    </row>
    <row r="36" spans="1:7">
      <c r="A36">
        <f t="shared" si="2"/>
        <v>35</v>
      </c>
      <c r="B36" t="s">
        <v>59</v>
      </c>
      <c r="C36">
        <f>'INDIVIDUAL ST DASHBOARD '!$C$11</f>
        <v>9</v>
      </c>
      <c r="D36">
        <f>COUNTIF(_xlfn.XLOOKUP(B36,'ATTENDANCE REGI'!B45:B89,'ATTENDANCE REGI'!C45:DR89,"NO DATA",0,1),"P")</f>
        <v>7</v>
      </c>
      <c r="E36">
        <f t="shared" si="0"/>
        <v>2</v>
      </c>
      <c r="F36" s="41">
        <f t="shared" si="1"/>
        <v>0.77777777777777779</v>
      </c>
      <c r="G36" s="42" t="str" cm="1">
        <f t="array" ref="G36">_xlfn.IFS(Table2[[#This Row],[%]]&gt;=75%,"REGULAR",Table2[[#This Row],[%]]&lt;=49%,"IRREGULAR",75%&gt;Table2[[#This Row],[%]]&gt;49%,"AVERAGE ATT")</f>
        <v>REGULAR</v>
      </c>
    </row>
    <row r="37" spans="1:7">
      <c r="A37">
        <f t="shared" si="2"/>
        <v>36</v>
      </c>
      <c r="B37" t="s">
        <v>60</v>
      </c>
      <c r="C37">
        <f>'INDIVIDUAL ST DASHBOARD '!$C$11</f>
        <v>9</v>
      </c>
      <c r="D37">
        <f>COUNTIF(_xlfn.XLOOKUP(B37,'ATTENDANCE REGI'!B46:B90,'ATTENDANCE REGI'!C46:DR90,"NO DATA",0,1),"P")</f>
        <v>3</v>
      </c>
      <c r="E37">
        <f t="shared" si="0"/>
        <v>6</v>
      </c>
      <c r="F37" s="41">
        <f t="shared" si="1"/>
        <v>0.33333333333333331</v>
      </c>
      <c r="G37" s="42" t="str" cm="1">
        <f t="array" ref="G37">_xlfn.IFS(Table2[[#This Row],[%]]&gt;=75%,"REGULAR",Table2[[#This Row],[%]]&lt;=49%,"IRREGULAR",75%&gt;Table2[[#This Row],[%]]&gt;49%,"AVERAGE ATT")</f>
        <v>IRREGULAR</v>
      </c>
    </row>
    <row r="38" spans="1:7">
      <c r="A38">
        <f t="shared" si="2"/>
        <v>37</v>
      </c>
      <c r="B38" t="s">
        <v>61</v>
      </c>
      <c r="C38">
        <f>'INDIVIDUAL ST DASHBOARD '!$C$11</f>
        <v>9</v>
      </c>
      <c r="D38">
        <f>COUNTIF(_xlfn.XLOOKUP(B38,'ATTENDANCE REGI'!B47:B91,'ATTENDANCE REGI'!C47:DR91,"NO DATA",0,1),"P")</f>
        <v>4</v>
      </c>
      <c r="E38">
        <f t="shared" si="0"/>
        <v>5</v>
      </c>
      <c r="F38" s="41">
        <f t="shared" si="1"/>
        <v>0.44444444444444442</v>
      </c>
      <c r="G38" s="42" t="str" cm="1">
        <f t="array" ref="G38">_xlfn.IFS(Table2[[#This Row],[%]]&gt;=75%,"REGULAR",Table2[[#This Row],[%]]&lt;=49%,"IRREGULAR",75%&gt;Table2[[#This Row],[%]]&gt;49%,"AVERAGE ATT")</f>
        <v>IRREGULAR</v>
      </c>
    </row>
    <row r="39" spans="1:7">
      <c r="A39">
        <f t="shared" si="2"/>
        <v>38</v>
      </c>
      <c r="B39" t="s">
        <v>62</v>
      </c>
      <c r="C39">
        <f>'INDIVIDUAL ST DASHBOARD '!$C$11</f>
        <v>9</v>
      </c>
      <c r="D39">
        <f>COUNTIF(_xlfn.XLOOKUP(B39,'ATTENDANCE REGI'!B48:B92,'ATTENDANCE REGI'!C48:DR92,"NO DATA",0,1),"P")</f>
        <v>8</v>
      </c>
      <c r="E39">
        <f t="shared" si="0"/>
        <v>1</v>
      </c>
      <c r="F39" s="41">
        <f t="shared" si="1"/>
        <v>0.88888888888888884</v>
      </c>
      <c r="G39" s="42" t="str" cm="1">
        <f t="array" ref="G39">_xlfn.IFS(Table2[[#This Row],[%]]&gt;=75%,"REGULAR",Table2[[#This Row],[%]]&lt;=49%,"IRREGULAR",75%&gt;Table2[[#This Row],[%]]&gt;49%,"AVERAGE ATT")</f>
        <v>REGULAR</v>
      </c>
    </row>
    <row r="40" spans="1:7">
      <c r="A40">
        <f t="shared" si="2"/>
        <v>39</v>
      </c>
      <c r="B40" t="s">
        <v>63</v>
      </c>
      <c r="C40">
        <f>'INDIVIDUAL ST DASHBOARD '!$C$11</f>
        <v>9</v>
      </c>
      <c r="D40">
        <f>COUNTIF(_xlfn.XLOOKUP(B40,'ATTENDANCE REGI'!B49:B93,'ATTENDANCE REGI'!C49:DR93,"NO DATA",0,1),"P")</f>
        <v>7</v>
      </c>
      <c r="E40">
        <f t="shared" si="0"/>
        <v>2</v>
      </c>
      <c r="F40" s="41">
        <f t="shared" si="1"/>
        <v>0.77777777777777779</v>
      </c>
      <c r="G40" s="42" t="str" cm="1">
        <f t="array" ref="G40">_xlfn.IFS(Table2[[#This Row],[%]]&gt;=75%,"REGULAR",Table2[[#This Row],[%]]&lt;=49%,"IRREGULAR",75%&gt;Table2[[#This Row],[%]]&gt;49%,"AVERAGE ATT")</f>
        <v>REGULAR</v>
      </c>
    </row>
    <row r="41" spans="1:7">
      <c r="A41">
        <f t="shared" si="2"/>
        <v>40</v>
      </c>
      <c r="B41" t="s">
        <v>64</v>
      </c>
      <c r="C41">
        <f>'INDIVIDUAL ST DASHBOARD '!$C$11</f>
        <v>9</v>
      </c>
      <c r="D41">
        <f>COUNTIF(_xlfn.XLOOKUP(B41,'ATTENDANCE REGI'!B50:B94,'ATTENDANCE REGI'!C50:DR94,"NO DATA",0,1),"P")</f>
        <v>2</v>
      </c>
      <c r="E41">
        <f t="shared" si="0"/>
        <v>7</v>
      </c>
      <c r="F41" s="41">
        <f t="shared" si="1"/>
        <v>0.22222222222222221</v>
      </c>
      <c r="G41" s="42" t="str" cm="1">
        <f t="array" ref="G41">_xlfn.IFS(Table2[[#This Row],[%]]&gt;=75%,"REGULAR",Table2[[#This Row],[%]]&lt;=49%,"IRREGULAR",75%&gt;Table2[[#This Row],[%]]&gt;49%,"AVERAGE ATT")</f>
        <v>IRREGULAR</v>
      </c>
    </row>
    <row r="42" spans="1:7">
      <c r="A42">
        <f t="shared" si="2"/>
        <v>41</v>
      </c>
      <c r="B42" t="s">
        <v>65</v>
      </c>
      <c r="C42">
        <f>'INDIVIDUAL ST DASHBOARD '!$C$11</f>
        <v>9</v>
      </c>
      <c r="D42">
        <f>COUNTIF(_xlfn.XLOOKUP(B42,'ATTENDANCE REGI'!B51:B95,'ATTENDANCE REGI'!C51:DR95,"NO DATA",0,1),"P")</f>
        <v>0</v>
      </c>
      <c r="E42">
        <f t="shared" si="0"/>
        <v>9</v>
      </c>
      <c r="F42" s="41">
        <f t="shared" si="1"/>
        <v>0</v>
      </c>
      <c r="G42" s="42" t="str" cm="1">
        <f t="array" ref="G42">_xlfn.IFS(Table2[[#This Row],[%]]&gt;=75%,"REGULAR",Table2[[#This Row],[%]]&lt;=49%,"IRREGULAR",75%&gt;Table2[[#This Row],[%]]&gt;49%,"AVERAGE ATT")</f>
        <v>IRREGULAR</v>
      </c>
    </row>
    <row r="43" spans="1:7">
      <c r="A43">
        <f t="shared" si="2"/>
        <v>42</v>
      </c>
      <c r="B43" t="s">
        <v>66</v>
      </c>
      <c r="C43">
        <f>'INDIVIDUAL ST DASHBOARD '!$C$11</f>
        <v>9</v>
      </c>
      <c r="D43">
        <f>COUNTIF(_xlfn.XLOOKUP(B43,'ATTENDANCE REGI'!B52:B96,'ATTENDANCE REGI'!C52:DR96,"NO DATA",0,1),"P")</f>
        <v>3</v>
      </c>
      <c r="E43">
        <f t="shared" si="0"/>
        <v>6</v>
      </c>
      <c r="F43" s="41">
        <f t="shared" si="1"/>
        <v>0.33333333333333331</v>
      </c>
      <c r="G43" s="42" t="str" cm="1">
        <f t="array" ref="G43">_xlfn.IFS(Table2[[#This Row],[%]]&gt;=75%,"REGULAR",Table2[[#This Row],[%]]&lt;=49%,"IRREGULAR",75%&gt;Table2[[#This Row],[%]]&gt;49%,"AVERAGE ATT")</f>
        <v>IRREGULAR</v>
      </c>
    </row>
    <row r="44" spans="1:7">
      <c r="A44">
        <f t="shared" si="2"/>
        <v>43</v>
      </c>
      <c r="B44" t="s">
        <v>67</v>
      </c>
      <c r="C44">
        <f>'INDIVIDUAL ST DASHBOARD '!$C$11</f>
        <v>9</v>
      </c>
      <c r="D44">
        <f>COUNTIF(_xlfn.XLOOKUP(B44,'ATTENDANCE REGI'!B53:B97,'ATTENDANCE REGI'!C53:DR97,"NO DATA",0,1),"P")</f>
        <v>4</v>
      </c>
      <c r="E44">
        <f t="shared" si="0"/>
        <v>5</v>
      </c>
      <c r="F44" s="41">
        <f t="shared" si="1"/>
        <v>0.44444444444444442</v>
      </c>
      <c r="G44" s="42" t="str" cm="1">
        <f t="array" ref="G44">_xlfn.IFS(Table2[[#This Row],[%]]&gt;=75%,"REGULAR",Table2[[#This Row],[%]]&lt;=49%,"IRREGULAR",75%&gt;Table2[[#This Row],[%]]&gt;49%,"AVERAGE ATT")</f>
        <v>IRREGULAR</v>
      </c>
    </row>
    <row r="45" spans="1:7">
      <c r="A45">
        <f t="shared" si="2"/>
        <v>44</v>
      </c>
      <c r="B45" t="s">
        <v>68</v>
      </c>
      <c r="C45">
        <f>'INDIVIDUAL ST DASHBOARD '!$C$11</f>
        <v>9</v>
      </c>
      <c r="D45">
        <f>COUNTIF(_xlfn.XLOOKUP(B45,'ATTENDANCE REGI'!B54:B98,'ATTENDANCE REGI'!C54:DR98,"NO DATA",0,1),"P")</f>
        <v>0</v>
      </c>
      <c r="E45">
        <f t="shared" si="0"/>
        <v>9</v>
      </c>
      <c r="F45" s="41">
        <f t="shared" si="1"/>
        <v>0</v>
      </c>
      <c r="G45" s="42" t="str" cm="1">
        <f t="array" ref="G45">_xlfn.IFS(Table2[[#This Row],[%]]&gt;=75%,"REGULAR",Table2[[#This Row],[%]]&lt;=49%,"IRREGULAR",75%&gt;Table2[[#This Row],[%]]&gt;49%,"AVERAGE ATT")</f>
        <v>IRREGULAR</v>
      </c>
    </row>
    <row r="46" spans="1:7">
      <c r="A46">
        <f t="shared" si="2"/>
        <v>45</v>
      </c>
      <c r="B46" t="s">
        <v>69</v>
      </c>
      <c r="C46">
        <f>'INDIVIDUAL ST DASHBOARD '!$C$11</f>
        <v>9</v>
      </c>
      <c r="D46">
        <f>COUNTIF(_xlfn.XLOOKUP(B46,'ATTENDANCE REGI'!B55:B99,'ATTENDANCE REGI'!C55:DR99,"NO DATA",0,1),"P")</f>
        <v>1</v>
      </c>
      <c r="E46">
        <f t="shared" si="0"/>
        <v>8</v>
      </c>
      <c r="F46" s="41">
        <f t="shared" si="1"/>
        <v>0.1111111111111111</v>
      </c>
      <c r="G46" s="42" t="str" cm="1">
        <f t="array" ref="G46">_xlfn.IFS(Table2[[#This Row],[%]]&gt;=75%,"REGULAR",Table2[[#This Row],[%]]&lt;=49%,"IRREGULAR",75%&gt;Table2[[#This Row],[%]]&gt;49%,"AVERAGE ATT")</f>
        <v>IRREGULAR</v>
      </c>
    </row>
  </sheetData>
  <sheetProtection sheet="1" objects="1" scenarios="1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A770-A3DF-455B-A3C8-6F5A0E3F1F08}">
  <dimension ref="A1:Q46"/>
  <sheetViews>
    <sheetView workbookViewId="0">
      <selection activeCell="D24" sqref="D24"/>
    </sheetView>
  </sheetViews>
  <sheetFormatPr defaultRowHeight="15"/>
  <cols>
    <col min="1" max="1" width="7.140625" bestFit="1" customWidth="1"/>
    <col min="2" max="2" width="20.7109375" bestFit="1" customWidth="1"/>
    <col min="3" max="3" width="23.28515625" bestFit="1" customWidth="1"/>
    <col min="5" max="5" width="7.140625" bestFit="1" customWidth="1"/>
    <col min="6" max="6" width="20.7109375" bestFit="1" customWidth="1"/>
    <col min="7" max="7" width="23.28515625" bestFit="1" customWidth="1"/>
  </cols>
  <sheetData>
    <row r="1" spans="1:17">
      <c r="A1" s="17" t="s">
        <v>79</v>
      </c>
      <c r="B1" s="17" t="s">
        <v>80</v>
      </c>
      <c r="C1" s="17" t="s">
        <v>81</v>
      </c>
    </row>
    <row r="2" spans="1:17">
      <c r="A2" s="18">
        <v>1</v>
      </c>
      <c r="B2" s="18" t="s">
        <v>82</v>
      </c>
      <c r="C2" s="18" t="s">
        <v>22</v>
      </c>
    </row>
    <row r="3" spans="1:17">
      <c r="A3" s="18">
        <f>A2+1</f>
        <v>2</v>
      </c>
      <c r="B3" s="18" t="s">
        <v>83</v>
      </c>
      <c r="C3" s="18" t="s">
        <v>26</v>
      </c>
    </row>
    <row r="4" spans="1:17">
      <c r="A4" s="18">
        <f t="shared" ref="A4:A46" si="0">A3+1</f>
        <v>3</v>
      </c>
      <c r="B4" s="5" t="s">
        <v>84</v>
      </c>
      <c r="C4" s="19" t="s">
        <v>27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>
      <c r="A5" s="18">
        <f t="shared" si="0"/>
        <v>4</v>
      </c>
      <c r="B5" s="5" t="s">
        <v>85</v>
      </c>
      <c r="C5" s="19" t="s">
        <v>28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A6" s="18">
        <f t="shared" si="0"/>
        <v>5</v>
      </c>
      <c r="B6" s="18" t="s">
        <v>86</v>
      </c>
      <c r="C6" s="18" t="s">
        <v>29</v>
      </c>
      <c r="D6" s="5"/>
      <c r="G6" s="7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>
      <c r="A7" s="18">
        <f t="shared" si="0"/>
        <v>6</v>
      </c>
      <c r="B7" s="18" t="s">
        <v>87</v>
      </c>
      <c r="C7" s="18" t="s">
        <v>30</v>
      </c>
      <c r="D7" s="5"/>
      <c r="G7" s="7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>
        <f t="shared" si="0"/>
        <v>7</v>
      </c>
      <c r="B8" s="18" t="s">
        <v>88</v>
      </c>
      <c r="C8" s="18" t="s">
        <v>31</v>
      </c>
      <c r="D8" s="5"/>
      <c r="G8" s="7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>
      <c r="A9" s="18">
        <f t="shared" si="0"/>
        <v>8</v>
      </c>
      <c r="B9" s="18" t="s">
        <v>89</v>
      </c>
      <c r="C9" s="18" t="s">
        <v>32</v>
      </c>
      <c r="D9" s="5"/>
      <c r="G9" s="7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>
      <c r="A10" s="18">
        <f t="shared" si="0"/>
        <v>9</v>
      </c>
      <c r="B10" s="18" t="s">
        <v>90</v>
      </c>
      <c r="C10" s="18" t="s">
        <v>33</v>
      </c>
      <c r="D10" s="5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18">
        <f t="shared" si="0"/>
        <v>10</v>
      </c>
      <c r="B11" s="18" t="s">
        <v>91</v>
      </c>
      <c r="C11" s="18" t="s">
        <v>34</v>
      </c>
      <c r="D11" s="5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>
      <c r="A12" s="18">
        <f t="shared" si="0"/>
        <v>11</v>
      </c>
      <c r="B12" s="18" t="s">
        <v>92</v>
      </c>
      <c r="C12" s="18" t="s">
        <v>35</v>
      </c>
      <c r="D12" s="5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>
      <c r="A13" s="18">
        <f t="shared" si="0"/>
        <v>12</v>
      </c>
      <c r="B13" s="18" t="s">
        <v>93</v>
      </c>
      <c r="C13" s="18" t="s">
        <v>36</v>
      </c>
      <c r="D13" s="5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A14" s="18">
        <f t="shared" si="0"/>
        <v>13</v>
      </c>
      <c r="B14" s="18" t="s">
        <v>94</v>
      </c>
      <c r="C14" s="18" t="s">
        <v>37</v>
      </c>
      <c r="D14" s="5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>
      <c r="A15" s="18">
        <f t="shared" si="0"/>
        <v>14</v>
      </c>
      <c r="B15" s="18" t="s">
        <v>95</v>
      </c>
      <c r="C15" s="18" t="s">
        <v>38</v>
      </c>
      <c r="D15" s="5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A16" s="18">
        <f t="shared" si="0"/>
        <v>15</v>
      </c>
      <c r="B16" s="18" t="s">
        <v>96</v>
      </c>
      <c r="C16" s="18" t="s">
        <v>39</v>
      </c>
      <c r="D16" s="5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18">
        <f t="shared" si="0"/>
        <v>16</v>
      </c>
      <c r="B17" s="18" t="s">
        <v>97</v>
      </c>
      <c r="C17" s="18" t="s">
        <v>40</v>
      </c>
      <c r="D17" s="5"/>
      <c r="G17" s="7"/>
      <c r="H17" s="16"/>
      <c r="I17" s="6"/>
      <c r="J17" s="6"/>
      <c r="K17" s="6"/>
      <c r="L17" s="6"/>
      <c r="M17" s="6"/>
      <c r="N17" s="6"/>
      <c r="O17" s="6"/>
      <c r="P17" s="6"/>
      <c r="Q17" s="6"/>
    </row>
    <row r="18" spans="1:17">
      <c r="A18" s="18">
        <f t="shared" si="0"/>
        <v>17</v>
      </c>
      <c r="B18" s="5" t="s">
        <v>98</v>
      </c>
      <c r="C18" s="19" t="s">
        <v>41</v>
      </c>
      <c r="D18" s="5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18">
        <f t="shared" si="0"/>
        <v>18</v>
      </c>
      <c r="B19" s="18" t="s">
        <v>99</v>
      </c>
      <c r="C19" s="18" t="s">
        <v>42</v>
      </c>
      <c r="D19" s="5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18">
        <f t="shared" si="0"/>
        <v>19</v>
      </c>
      <c r="B20" s="18" t="s">
        <v>100</v>
      </c>
      <c r="C20" s="18" t="s">
        <v>43</v>
      </c>
      <c r="D20" s="5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18">
        <f t="shared" si="0"/>
        <v>20</v>
      </c>
      <c r="B21" s="18" t="s">
        <v>101</v>
      </c>
      <c r="C21" s="18" t="s">
        <v>44</v>
      </c>
      <c r="D21" s="5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18">
        <f t="shared" si="0"/>
        <v>21</v>
      </c>
      <c r="B22" s="18" t="s">
        <v>102</v>
      </c>
      <c r="C22" s="18" t="s">
        <v>45</v>
      </c>
      <c r="D22" s="5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A23" s="18">
        <f t="shared" si="0"/>
        <v>22</v>
      </c>
      <c r="B23" s="18" t="s">
        <v>103</v>
      </c>
      <c r="C23" s="18" t="s">
        <v>46</v>
      </c>
      <c r="D23" s="5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18">
        <f t="shared" si="0"/>
        <v>23</v>
      </c>
      <c r="B24" s="18" t="s">
        <v>104</v>
      </c>
      <c r="C24" s="18" t="s">
        <v>47</v>
      </c>
      <c r="D24" s="5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18">
        <f t="shared" si="0"/>
        <v>24</v>
      </c>
      <c r="B25" s="5" t="s">
        <v>105</v>
      </c>
      <c r="C25" s="19" t="s">
        <v>48</v>
      </c>
      <c r="D25" s="5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18">
        <f t="shared" si="0"/>
        <v>25</v>
      </c>
      <c r="B26" s="5" t="s">
        <v>106</v>
      </c>
      <c r="C26" s="19" t="s">
        <v>49</v>
      </c>
      <c r="D26" s="5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18">
        <f t="shared" si="0"/>
        <v>26</v>
      </c>
      <c r="B27" s="18" t="s">
        <v>107</v>
      </c>
      <c r="C27" s="18" t="s">
        <v>50</v>
      </c>
      <c r="D27" s="5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A28" s="18">
        <f t="shared" si="0"/>
        <v>27</v>
      </c>
      <c r="B28" s="18" t="s">
        <v>108</v>
      </c>
      <c r="C28" s="18" t="s">
        <v>51</v>
      </c>
      <c r="D28" s="5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18">
        <f t="shared" si="0"/>
        <v>28</v>
      </c>
      <c r="B29" s="18" t="s">
        <v>109</v>
      </c>
      <c r="C29" s="18" t="s">
        <v>52</v>
      </c>
      <c r="D29" s="5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18">
        <f t="shared" si="0"/>
        <v>29</v>
      </c>
      <c r="B30" s="18" t="s">
        <v>110</v>
      </c>
      <c r="C30" s="18" t="s">
        <v>53</v>
      </c>
      <c r="D30" s="5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A31" s="18">
        <f t="shared" si="0"/>
        <v>30</v>
      </c>
      <c r="B31" s="5" t="s">
        <v>111</v>
      </c>
      <c r="C31" s="19" t="s">
        <v>54</v>
      </c>
      <c r="D31" s="5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>
      <c r="A32" s="18">
        <f t="shared" si="0"/>
        <v>31</v>
      </c>
      <c r="B32" s="18" t="s">
        <v>112</v>
      </c>
      <c r="C32" s="18" t="s">
        <v>55</v>
      </c>
      <c r="D32" s="5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>
      <c r="A33" s="18">
        <f t="shared" si="0"/>
        <v>32</v>
      </c>
      <c r="B33" s="18" t="s">
        <v>113</v>
      </c>
      <c r="C33" s="18" t="s">
        <v>56</v>
      </c>
      <c r="D33" s="5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>
      <c r="A34" s="18">
        <f t="shared" si="0"/>
        <v>33</v>
      </c>
      <c r="B34" s="18" t="s">
        <v>114</v>
      </c>
      <c r="C34" s="18" t="s">
        <v>57</v>
      </c>
      <c r="D34" s="5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>
      <c r="A35" s="18">
        <f t="shared" si="0"/>
        <v>34</v>
      </c>
      <c r="B35" s="18" t="s">
        <v>115</v>
      </c>
      <c r="C35" s="18" t="s">
        <v>58</v>
      </c>
      <c r="D35" s="5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>
      <c r="A36" s="18">
        <f t="shared" si="0"/>
        <v>35</v>
      </c>
      <c r="B36" s="18" t="s">
        <v>116</v>
      </c>
      <c r="C36" s="18" t="s">
        <v>59</v>
      </c>
      <c r="D36" s="5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>
      <c r="A37" s="18">
        <f t="shared" si="0"/>
        <v>36</v>
      </c>
      <c r="B37" s="18" t="s">
        <v>117</v>
      </c>
      <c r="C37" s="18" t="s">
        <v>60</v>
      </c>
      <c r="D37" s="5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>
      <c r="A38" s="18">
        <f t="shared" si="0"/>
        <v>37</v>
      </c>
      <c r="B38" s="18" t="s">
        <v>118</v>
      </c>
      <c r="C38" s="18" t="s">
        <v>61</v>
      </c>
      <c r="D38" s="5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>
      <c r="A39" s="18">
        <f t="shared" si="0"/>
        <v>38</v>
      </c>
      <c r="B39" s="18" t="s">
        <v>119</v>
      </c>
      <c r="C39" s="18" t="s">
        <v>62</v>
      </c>
      <c r="D39" s="5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>
      <c r="A40" s="18">
        <f t="shared" si="0"/>
        <v>39</v>
      </c>
      <c r="B40" s="18" t="s">
        <v>120</v>
      </c>
      <c r="C40" s="18" t="s">
        <v>63</v>
      </c>
      <c r="D40" s="5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>
      <c r="A41" s="18">
        <f t="shared" si="0"/>
        <v>40</v>
      </c>
      <c r="B41" s="20" t="s">
        <v>121</v>
      </c>
      <c r="C41" s="20" t="s">
        <v>64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>
      <c r="A42" s="18">
        <f t="shared" si="0"/>
        <v>41</v>
      </c>
      <c r="B42" s="20" t="s">
        <v>122</v>
      </c>
      <c r="C42" s="20" t="s">
        <v>65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>
      <c r="A43" s="18">
        <f t="shared" si="0"/>
        <v>42</v>
      </c>
      <c r="B43" s="20" t="s">
        <v>123</v>
      </c>
      <c r="C43" s="20" t="s">
        <v>66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>
      <c r="A44" s="18">
        <f t="shared" si="0"/>
        <v>43</v>
      </c>
      <c r="B44" s="20" t="s">
        <v>124</v>
      </c>
      <c r="C44" s="20" t="s">
        <v>67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>
      <c r="A45" s="18">
        <f t="shared" si="0"/>
        <v>44</v>
      </c>
      <c r="B45" s="20" t="s">
        <v>125</v>
      </c>
      <c r="C45" s="20" t="s">
        <v>68</v>
      </c>
    </row>
    <row r="46" spans="1:17">
      <c r="A46" s="18">
        <f t="shared" si="0"/>
        <v>45</v>
      </c>
      <c r="B46" s="20" t="s">
        <v>126</v>
      </c>
      <c r="C46" s="20" t="s">
        <v>69</v>
      </c>
    </row>
  </sheetData>
  <sortState xmlns:xlrd2="http://schemas.microsoft.com/office/spreadsheetml/2017/richdata2" ref="A2:C46">
    <sortCondition ref="C2:C46"/>
  </sortState>
  <conditionalFormatting sqref="H4:Q44">
    <cfRule type="notContainsBlanks" dxfId="4" priority="1">
      <formula>LEN(TRIM(H4))&gt;0</formula>
    </cfRule>
    <cfRule type="cellIs" dxfId="3" priority="2" operator="equal">
      <formula>"A"</formula>
    </cfRule>
    <cfRule type="cellIs" dxfId="2" priority="3" operator="equal">
      <formula>"P"</formula>
    </cfRule>
    <cfRule type="expression" dxfId="1" priority="4">
      <formula>H$11="H"</formula>
    </cfRule>
    <cfRule type="expression" dxfId="0" priority="5">
      <formula>H$9="SUN"</formula>
    </cfRule>
  </conditionalFormatting>
  <dataValidations count="1">
    <dataValidation type="list" allowBlank="1" showInputMessage="1" showErrorMessage="1" sqref="I17:Q17 H4:Q16 H18:Q44" xr:uid="{56992CF9-E7C5-4216-940F-B0D1724ABAA3}">
      <formula1>"P,A,H"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847B-0BCC-4152-BA6E-B10EDBCCB898}">
  <dimension ref="B1:G19"/>
  <sheetViews>
    <sheetView showGridLines="0" workbookViewId="0">
      <selection activeCell="C5" sqref="C5:C6"/>
    </sheetView>
  </sheetViews>
  <sheetFormatPr defaultRowHeight="15"/>
  <cols>
    <col min="2" max="2" width="34.28515625" bestFit="1" customWidth="1"/>
    <col min="3" max="3" width="24" bestFit="1" customWidth="1"/>
    <col min="5" max="5" width="27.28515625" bestFit="1" customWidth="1"/>
    <col min="6" max="6" width="19.140625" bestFit="1" customWidth="1"/>
  </cols>
  <sheetData>
    <row r="1" spans="2:7">
      <c r="B1" s="25" t="s">
        <v>127</v>
      </c>
      <c r="C1" s="25"/>
      <c r="D1" s="25"/>
      <c r="E1" s="25"/>
      <c r="F1" s="25"/>
      <c r="G1" s="25"/>
    </row>
    <row r="2" spans="2:7">
      <c r="B2" s="25"/>
      <c r="C2" s="25"/>
      <c r="D2" s="25"/>
      <c r="E2" s="25"/>
      <c r="F2" s="25"/>
      <c r="G2" s="25"/>
    </row>
    <row r="3" spans="2:7">
      <c r="B3" s="25"/>
      <c r="C3" s="25"/>
      <c r="D3" s="25"/>
      <c r="E3" s="25"/>
      <c r="F3" s="25"/>
      <c r="G3" s="25"/>
    </row>
    <row r="5" spans="2:7" ht="18.75" customHeight="1">
      <c r="B5" s="26" t="s">
        <v>128</v>
      </c>
      <c r="C5" s="26" t="s">
        <v>26</v>
      </c>
    </row>
    <row r="6" spans="2:7" ht="18.75" customHeight="1">
      <c r="B6" s="26"/>
      <c r="C6" s="26"/>
    </row>
    <row r="7" spans="2:7" ht="18.75">
      <c r="B7" s="11"/>
      <c r="C7" s="11"/>
    </row>
    <row r="8" spans="2:7" ht="18.75" customHeight="1">
      <c r="B8" s="26" t="s">
        <v>129</v>
      </c>
      <c r="C8" s="26" t="str">
        <f>_xlfn.XLOOKUP(C5,'student dashboard'!C2:C46,'student dashboard'!B2:B46,"NO DATA",0,1)</f>
        <v>CSJMA21001448785</v>
      </c>
    </row>
    <row r="9" spans="2:7" ht="18.75" customHeight="1">
      <c r="B9" s="26"/>
      <c r="C9" s="26"/>
    </row>
    <row r="10" spans="2:7" ht="18.75">
      <c r="B10" s="11"/>
      <c r="C10" s="15"/>
    </row>
    <row r="11" spans="2:7" ht="18.75">
      <c r="B11" s="23" t="s">
        <v>130</v>
      </c>
      <c r="C11" s="24">
        <f>SUM(COUNTIF('ATTENDANCE REGI'!C11:DR11,"A"),COUNTIF('ATTENDANCE REGI'!C11:DR11,"P"))</f>
        <v>9</v>
      </c>
    </row>
    <row r="12" spans="2:7" ht="18.75">
      <c r="B12" s="12" t="s">
        <v>131</v>
      </c>
      <c r="C12" s="12">
        <f>COUNTIF(_xlfn.XLOOKUP(C5,'ATTENDANCE REGI'!B11:B55,'ATTENDANCE REGI'!C11:AW55,"NO DATA",0,1),"P")</f>
        <v>9</v>
      </c>
    </row>
    <row r="13" spans="2:7" ht="18.75">
      <c r="B13" s="12" t="s">
        <v>132</v>
      </c>
      <c r="C13" s="12">
        <f>C11-C12</f>
        <v>0</v>
      </c>
    </row>
    <row r="14" spans="2:7" ht="18.75">
      <c r="B14" s="11"/>
      <c r="C14" s="11"/>
    </row>
    <row r="15" spans="2:7" ht="18.75">
      <c r="B15" s="13" t="s">
        <v>133</v>
      </c>
      <c r="C15" s="14">
        <f>C12/(C12+C13)</f>
        <v>1</v>
      </c>
    </row>
    <row r="16" spans="2:7" ht="18.75">
      <c r="B16" s="11"/>
      <c r="C16" s="11"/>
    </row>
    <row r="17" spans="2:3" ht="18.75">
      <c r="B17" s="13" t="str" cm="1">
        <f t="array" ref="B17">_xlfn.IFS(C15&gt;=75%,"REGULAR AT ",C15&lt;50%,"IRREGULAR AT",75&gt;C15&gt;50,"AVERAGE AT")</f>
        <v xml:space="preserve">REGULAR AT </v>
      </c>
      <c r="C17" s="11"/>
    </row>
    <row r="18" spans="2:3" ht="18.75">
      <c r="B18" s="11"/>
      <c r="C18" s="11"/>
    </row>
    <row r="19" spans="2:3" ht="18.75">
      <c r="B19" s="11"/>
      <c r="C19" s="11"/>
    </row>
  </sheetData>
  <sheetProtection sheet="1" objects="1" scenarios="1"/>
  <protectedRanges>
    <protectedRange sqref="C5" name="Range1"/>
    <protectedRange sqref="B5:C7" name="Range2"/>
  </protectedRanges>
  <mergeCells count="5">
    <mergeCell ref="B1:G3"/>
    <mergeCell ref="C5:C6"/>
    <mergeCell ref="B5:B6"/>
    <mergeCell ref="B8:B9"/>
    <mergeCell ref="C8:C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C3C449-9436-4F1B-AC5E-7A0D22F70FE1}">
          <x14:formula1>
            <xm:f>'ATTENDANCE REGI'!$B$11:$B$55</xm:f>
          </x14:formula1>
          <xm:sqref>C5:C6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2026-08-03T12:07:59Z</dcterms:created>
  <dcterms:modified xsi:type="dcterms:W3CDTF">2026-08-06T03:37:07Z</dcterms:modified>
  <cp:category/>
  <cp:contentStatus/>
</cp:coreProperties>
</file>